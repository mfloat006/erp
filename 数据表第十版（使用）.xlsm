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竞赛\ERP\表格\"/>
    </mc:Choice>
  </mc:AlternateContent>
  <xr:revisionPtr revIDLastSave="0" documentId="13_ncr:1_{24D56518-B89E-4AB2-AC2E-33876D1D63D0}" xr6:coauthVersionLast="45" xr6:coauthVersionMax="45" xr10:uidLastSave="{00000000-0000-0000-0000-000000000000}"/>
  <bookViews>
    <workbookView xWindow="-120" yWindow="-120" windowWidth="20730" windowHeight="11760" activeTab="2" xr2:uid="{A51AA333-5797-46BB-B9E5-5251A426BB37}"/>
  </bookViews>
  <sheets>
    <sheet name="原材料购买" sheetId="3" r:id="rId1"/>
    <sheet name="产品报价" sheetId="7" r:id="rId2"/>
    <sheet name="报价辅助表" sheetId="4" r:id="rId3"/>
    <sheet name="采购附录表" sheetId="8" r:id="rId4"/>
    <sheet name="财务计算" sheetId="9" r:id="rId5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4" i="9" l="1"/>
  <c r="C31" i="9"/>
  <c r="C32" i="9"/>
  <c r="C33" i="9"/>
  <c r="B22" i="9"/>
  <c r="C22" i="9" s="1"/>
  <c r="D18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B24" i="9"/>
  <c r="C24" i="9" s="1"/>
  <c r="D2" i="9"/>
  <c r="D19" i="9" l="1"/>
  <c r="B23" i="9" s="1"/>
  <c r="C23" i="9" s="1"/>
  <c r="A67" i="4"/>
  <c r="A66" i="4"/>
  <c r="A65" i="4"/>
  <c r="A64" i="4"/>
  <c r="A63" i="4"/>
  <c r="A62" i="4"/>
  <c r="A61" i="4"/>
  <c r="A60" i="4"/>
  <c r="C58" i="3"/>
  <c r="C59" i="3"/>
  <c r="C60" i="3"/>
  <c r="C61" i="3"/>
  <c r="B27" i="9" l="1"/>
  <c r="C27" i="9" s="1"/>
  <c r="C4" i="3" l="1"/>
  <c r="D66" i="3"/>
  <c r="E66" i="3"/>
  <c r="F66" i="3"/>
  <c r="G66" i="3"/>
  <c r="H66" i="3"/>
  <c r="I66" i="3"/>
  <c r="J66" i="3"/>
  <c r="D67" i="3"/>
  <c r="E67" i="3"/>
  <c r="F67" i="3"/>
  <c r="G67" i="3"/>
  <c r="H67" i="3"/>
  <c r="I67" i="3"/>
  <c r="J67" i="3"/>
  <c r="C67" i="3"/>
  <c r="C66" i="3"/>
  <c r="E58" i="3" l="1"/>
  <c r="F58" i="3"/>
  <c r="I58" i="3"/>
  <c r="E59" i="3"/>
  <c r="I59" i="3"/>
  <c r="E60" i="3"/>
  <c r="I60" i="3"/>
  <c r="E61" i="3"/>
  <c r="I61" i="3"/>
  <c r="J30" i="3" l="1"/>
  <c r="H31" i="3"/>
  <c r="J31" i="3" s="1"/>
  <c r="F55" i="3"/>
  <c r="F56" i="3" s="1"/>
  <c r="F57" i="3" s="1"/>
  <c r="F51" i="3"/>
  <c r="F52" i="3" s="1"/>
  <c r="F53" i="3" s="1"/>
  <c r="F47" i="3"/>
  <c r="F48" i="3" s="1"/>
  <c r="F49" i="3" s="1"/>
  <c r="F43" i="3"/>
  <c r="F44" i="3" s="1"/>
  <c r="F45" i="3" s="1"/>
  <c r="F39" i="3"/>
  <c r="F40" i="3" s="1"/>
  <c r="F41" i="3" s="1"/>
  <c r="F35" i="3"/>
  <c r="F36" i="3" s="1"/>
  <c r="F37" i="3" s="1"/>
  <c r="F31" i="3"/>
  <c r="G35" i="3"/>
  <c r="G36" i="3"/>
  <c r="G37" i="3"/>
  <c r="G34" i="3"/>
  <c r="G38" i="3" s="1"/>
  <c r="G42" i="3" s="1"/>
  <c r="G46" i="3" s="1"/>
  <c r="G50" i="3" s="1"/>
  <c r="G54" i="3" s="1"/>
  <c r="G41" i="3" l="1"/>
  <c r="G45" i="3" s="1"/>
  <c r="G49" i="3" s="1"/>
  <c r="G53" i="3" s="1"/>
  <c r="G57" i="3" s="1"/>
  <c r="G40" i="3"/>
  <c r="G44" i="3" s="1"/>
  <c r="G48" i="3" s="1"/>
  <c r="G52" i="3" s="1"/>
  <c r="G56" i="3" s="1"/>
  <c r="G39" i="3"/>
  <c r="G43" i="3" s="1"/>
  <c r="G47" i="3" s="1"/>
  <c r="G51" i="3" s="1"/>
  <c r="G55" i="3" s="1"/>
  <c r="G58" i="3"/>
  <c r="F32" i="3"/>
  <c r="F59" i="3"/>
  <c r="H32" i="3"/>
  <c r="G59" i="3" l="1"/>
  <c r="G61" i="3"/>
  <c r="G60" i="3"/>
  <c r="F33" i="3"/>
  <c r="F61" i="3" s="1"/>
  <c r="F60" i="3"/>
  <c r="H33" i="3"/>
  <c r="J32" i="3"/>
  <c r="C62" i="3"/>
  <c r="H34" i="3" l="1"/>
  <c r="J33" i="3"/>
  <c r="D22" i="3"/>
  <c r="E22" i="3"/>
  <c r="F22" i="3"/>
  <c r="G22" i="3"/>
  <c r="H22" i="3"/>
  <c r="I22" i="3"/>
  <c r="J22" i="3"/>
  <c r="K22" i="3"/>
  <c r="D23" i="3"/>
  <c r="E23" i="3"/>
  <c r="F23" i="3"/>
  <c r="G23" i="3"/>
  <c r="H23" i="3"/>
  <c r="I23" i="3"/>
  <c r="J23" i="3"/>
  <c r="K23" i="3"/>
  <c r="D24" i="3"/>
  <c r="E24" i="3"/>
  <c r="F24" i="3"/>
  <c r="G24" i="3"/>
  <c r="H24" i="3"/>
  <c r="I24" i="3"/>
  <c r="J24" i="3"/>
  <c r="K24" i="3"/>
  <c r="D26" i="3"/>
  <c r="E26" i="3"/>
  <c r="F26" i="3"/>
  <c r="G26" i="3"/>
  <c r="H26" i="3"/>
  <c r="F2" i="4" s="1" a="1"/>
  <c r="I26" i="3"/>
  <c r="J26" i="3"/>
  <c r="K26" i="3"/>
  <c r="C26" i="3"/>
  <c r="C24" i="3"/>
  <c r="C23" i="3"/>
  <c r="C22" i="3"/>
  <c r="H35" i="3" l="1"/>
  <c r="J34" i="3"/>
  <c r="F2" i="4"/>
  <c r="F4" i="4"/>
  <c r="G9" i="4"/>
  <c r="H7" i="4"/>
  <c r="D65" i="4" s="1"/>
  <c r="H5" i="4"/>
  <c r="G4" i="4"/>
  <c r="H8" i="4"/>
  <c r="D66" i="4" s="1"/>
  <c r="F5" i="4"/>
  <c r="G2" i="4"/>
  <c r="F7" i="4"/>
  <c r="H6" i="4"/>
  <c r="D64" i="4" s="1"/>
  <c r="F6" i="4"/>
  <c r="G5" i="4"/>
  <c r="F9" i="4"/>
  <c r="G8" i="4"/>
  <c r="F8" i="4"/>
  <c r="G6" i="4"/>
  <c r="H3" i="4"/>
  <c r="D61" i="4" s="1"/>
  <c r="F3" i="4"/>
  <c r="G7" i="4"/>
  <c r="H2" i="4"/>
  <c r="D60" i="4" s="1"/>
  <c r="G3" i="4"/>
  <c r="H4" i="4"/>
  <c r="H9" i="4"/>
  <c r="D67" i="4" s="1"/>
  <c r="D17" i="3"/>
  <c r="E17" i="3"/>
  <c r="F17" i="3"/>
  <c r="G17" i="3"/>
  <c r="H17" i="3"/>
  <c r="I17" i="3"/>
  <c r="J17" i="3"/>
  <c r="D16" i="3"/>
  <c r="E16" i="3"/>
  <c r="F16" i="3"/>
  <c r="G16" i="3"/>
  <c r="H16" i="3"/>
  <c r="I16" i="3"/>
  <c r="J16" i="3"/>
  <c r="D15" i="3"/>
  <c r="E15" i="3"/>
  <c r="F15" i="3"/>
  <c r="G15" i="3"/>
  <c r="H15" i="3"/>
  <c r="I15" i="3"/>
  <c r="J15" i="3"/>
  <c r="D14" i="3"/>
  <c r="E14" i="3"/>
  <c r="F14" i="3"/>
  <c r="G14" i="3"/>
  <c r="H14" i="3"/>
  <c r="I14" i="3"/>
  <c r="J14" i="3"/>
  <c r="C14" i="3"/>
  <c r="C17" i="3"/>
  <c r="C16" i="3"/>
  <c r="C15" i="3"/>
  <c r="D13" i="3"/>
  <c r="E13" i="3"/>
  <c r="F13" i="3"/>
  <c r="G13" i="3"/>
  <c r="H13" i="3"/>
  <c r="I13" i="3"/>
  <c r="J13" i="3"/>
  <c r="D12" i="3"/>
  <c r="E12" i="3"/>
  <c r="F12" i="3"/>
  <c r="G12" i="3"/>
  <c r="H12" i="3"/>
  <c r="I12" i="3"/>
  <c r="J12" i="3"/>
  <c r="D11" i="3"/>
  <c r="E11" i="3"/>
  <c r="F11" i="3"/>
  <c r="G11" i="3"/>
  <c r="H11" i="3"/>
  <c r="I11" i="3"/>
  <c r="J11" i="3"/>
  <c r="D10" i="3"/>
  <c r="E10" i="3"/>
  <c r="F10" i="3"/>
  <c r="G10" i="3"/>
  <c r="H10" i="3"/>
  <c r="I10" i="3"/>
  <c r="J10" i="3"/>
  <c r="C11" i="3"/>
  <c r="C12" i="3"/>
  <c r="C13" i="3"/>
  <c r="C10" i="3"/>
  <c r="D9" i="3"/>
  <c r="E9" i="3"/>
  <c r="F9" i="3"/>
  <c r="G9" i="3"/>
  <c r="H9" i="3"/>
  <c r="I9" i="3"/>
  <c r="J9" i="3"/>
  <c r="D8" i="3"/>
  <c r="E8" i="3"/>
  <c r="F8" i="3"/>
  <c r="G8" i="3"/>
  <c r="H8" i="3"/>
  <c r="I8" i="3"/>
  <c r="J8" i="3"/>
  <c r="D7" i="3"/>
  <c r="E7" i="3"/>
  <c r="F7" i="3"/>
  <c r="G7" i="3"/>
  <c r="H7" i="3"/>
  <c r="I7" i="3"/>
  <c r="J7" i="3"/>
  <c r="C8" i="3"/>
  <c r="C9" i="3"/>
  <c r="C7" i="3"/>
  <c r="C5" i="3"/>
  <c r="C6" i="3"/>
  <c r="D6" i="3"/>
  <c r="E6" i="3"/>
  <c r="F6" i="3"/>
  <c r="G6" i="3"/>
  <c r="H6" i="3"/>
  <c r="I6" i="3"/>
  <c r="J6" i="3"/>
  <c r="D5" i="3"/>
  <c r="E5" i="3"/>
  <c r="F5" i="3"/>
  <c r="G5" i="3"/>
  <c r="H5" i="3"/>
  <c r="I5" i="3"/>
  <c r="J5" i="3"/>
  <c r="D4" i="3"/>
  <c r="E4" i="3"/>
  <c r="F4" i="3"/>
  <c r="G4" i="3"/>
  <c r="H4" i="3"/>
  <c r="I4" i="3"/>
  <c r="J4" i="3"/>
  <c r="D62" i="4" l="1"/>
  <c r="D63" i="4"/>
  <c r="C53" i="4"/>
  <c r="B53" i="4" s="1"/>
  <c r="C45" i="4"/>
  <c r="B45" i="4" s="1"/>
  <c r="C37" i="4"/>
  <c r="B37" i="4" s="1"/>
  <c r="C29" i="4"/>
  <c r="B29" i="4" s="1"/>
  <c r="C21" i="4"/>
  <c r="B21" i="4" s="1"/>
  <c r="C13" i="4"/>
  <c r="B13" i="4" s="1"/>
  <c r="C57" i="4"/>
  <c r="B57" i="4" s="1"/>
  <c r="C49" i="4"/>
  <c r="B49" i="4" s="1"/>
  <c r="C41" i="4"/>
  <c r="B41" i="4" s="1"/>
  <c r="C33" i="4"/>
  <c r="B33" i="4" s="1"/>
  <c r="C25" i="4"/>
  <c r="B25" i="4" s="1"/>
  <c r="C17" i="4"/>
  <c r="B17" i="4" s="1"/>
  <c r="C56" i="4"/>
  <c r="B56" i="4" s="1"/>
  <c r="C40" i="4"/>
  <c r="B40" i="4" s="1"/>
  <c r="C32" i="4"/>
  <c r="B32" i="4" s="1"/>
  <c r="C16" i="4"/>
  <c r="B16" i="4" s="1"/>
  <c r="C48" i="4"/>
  <c r="B48" i="4" s="1"/>
  <c r="C24" i="4"/>
  <c r="B24" i="4" s="1"/>
  <c r="C51" i="4"/>
  <c r="B51" i="4" s="1"/>
  <c r="C19" i="4"/>
  <c r="B19" i="4" s="1"/>
  <c r="C43" i="4"/>
  <c r="B43" i="4" s="1"/>
  <c r="C35" i="4"/>
  <c r="B35" i="4" s="1"/>
  <c r="C27" i="4"/>
  <c r="B27" i="4" s="1"/>
  <c r="C11" i="4"/>
  <c r="B11" i="4" s="1"/>
  <c r="C12" i="4"/>
  <c r="B12" i="4" s="1"/>
  <c r="C36" i="4"/>
  <c r="B36" i="4" s="1"/>
  <c r="C28" i="4"/>
  <c r="B28" i="4" s="1"/>
  <c r="C44" i="4"/>
  <c r="B44" i="4" s="1"/>
  <c r="C52" i="4"/>
  <c r="B52" i="4" s="1"/>
  <c r="C20" i="4"/>
  <c r="B20" i="4" s="1"/>
  <c r="C39" i="4"/>
  <c r="B39" i="4" s="1"/>
  <c r="C31" i="4"/>
  <c r="B31" i="4" s="1"/>
  <c r="C23" i="4"/>
  <c r="B23" i="4" s="1"/>
  <c r="C47" i="4"/>
  <c r="B47" i="4" s="1"/>
  <c r="C15" i="4"/>
  <c r="B15" i="4" s="1"/>
  <c r="C55" i="4"/>
  <c r="B55" i="4" s="1"/>
  <c r="C54" i="4"/>
  <c r="B54" i="4" s="1"/>
  <c r="C46" i="4"/>
  <c r="B46" i="4" s="1"/>
  <c r="C38" i="4"/>
  <c r="B38" i="4" s="1"/>
  <c r="C30" i="4"/>
  <c r="B30" i="4" s="1"/>
  <c r="C22" i="4"/>
  <c r="B22" i="4" s="1"/>
  <c r="C14" i="4"/>
  <c r="B14" i="4" s="1"/>
  <c r="C50" i="4"/>
  <c r="B50" i="4" s="1"/>
  <c r="C42" i="4"/>
  <c r="B42" i="4" s="1"/>
  <c r="C34" i="4"/>
  <c r="B34" i="4" s="1"/>
  <c r="C26" i="4"/>
  <c r="B26" i="4" s="1"/>
  <c r="C18" i="4"/>
  <c r="B18" i="4" s="1"/>
  <c r="C10" i="4"/>
  <c r="B10" i="4" s="1"/>
  <c r="H36" i="3"/>
  <c r="J35" i="3"/>
  <c r="C6" i="4"/>
  <c r="C8" i="4"/>
  <c r="C3" i="4"/>
  <c r="C4" i="4"/>
  <c r="C5" i="4"/>
  <c r="C7" i="4"/>
  <c r="C2" i="4"/>
  <c r="C9" i="4"/>
  <c r="K10" i="3"/>
  <c r="H9" i="8" s="1"/>
  <c r="K13" i="3"/>
  <c r="H12" i="8" s="1"/>
  <c r="K15" i="3"/>
  <c r="H14" i="8" s="1"/>
  <c r="K11" i="3"/>
  <c r="H10" i="8" s="1"/>
  <c r="K16" i="3"/>
  <c r="H15" i="8" s="1"/>
  <c r="K17" i="3"/>
  <c r="H16" i="8" s="1"/>
  <c r="K9" i="3"/>
  <c r="H8" i="8" s="1"/>
  <c r="K14" i="3"/>
  <c r="H13" i="8" s="1"/>
  <c r="K6" i="3"/>
  <c r="H5" i="8" s="1"/>
  <c r="K5" i="3"/>
  <c r="H4" i="8" s="1"/>
  <c r="K4" i="3"/>
  <c r="H3" i="8" s="1"/>
  <c r="K7" i="3"/>
  <c r="H6" i="8" s="1"/>
  <c r="K8" i="3"/>
  <c r="H7" i="8" s="1"/>
  <c r="K12" i="3"/>
  <c r="H11" i="8" s="1"/>
  <c r="C18" i="3"/>
  <c r="D18" i="3"/>
  <c r="E18" i="3"/>
  <c r="F18" i="3"/>
  <c r="G18" i="3"/>
  <c r="I18" i="3"/>
  <c r="J18" i="3"/>
  <c r="H18" i="3"/>
  <c r="N16" i="8" l="1"/>
  <c r="K16" i="8"/>
  <c r="I16" i="8"/>
  <c r="M16" i="8"/>
  <c r="J16" i="8"/>
  <c r="L16" i="8"/>
  <c r="L15" i="8"/>
  <c r="J15" i="8"/>
  <c r="N15" i="8"/>
  <c r="I15" i="8"/>
  <c r="M15" i="8"/>
  <c r="K15" i="8"/>
  <c r="M6" i="8"/>
  <c r="J6" i="8"/>
  <c r="L6" i="8"/>
  <c r="K6" i="8"/>
  <c r="N6" i="8"/>
  <c r="I6" i="8"/>
  <c r="N10" i="8"/>
  <c r="M10" i="8"/>
  <c r="L10" i="8"/>
  <c r="K10" i="8"/>
  <c r="I10" i="8"/>
  <c r="J10" i="8"/>
  <c r="M14" i="8"/>
  <c r="K14" i="8"/>
  <c r="L14" i="8"/>
  <c r="N14" i="8"/>
  <c r="J14" i="8"/>
  <c r="I14" i="8"/>
  <c r="N4" i="8"/>
  <c r="L4" i="8"/>
  <c r="K4" i="8"/>
  <c r="J4" i="8"/>
  <c r="I4" i="8"/>
  <c r="M4" i="8"/>
  <c r="J3" i="8"/>
  <c r="I3" i="8"/>
  <c r="M3" i="8"/>
  <c r="N3" i="8"/>
  <c r="K3" i="8"/>
  <c r="L3" i="8"/>
  <c r="L5" i="8"/>
  <c r="J5" i="8"/>
  <c r="K5" i="8"/>
  <c r="I5" i="8"/>
  <c r="N5" i="8"/>
  <c r="M5" i="8"/>
  <c r="N12" i="8"/>
  <c r="L12" i="8"/>
  <c r="J12" i="8"/>
  <c r="I12" i="8"/>
  <c r="K12" i="8"/>
  <c r="M12" i="8"/>
  <c r="M9" i="8"/>
  <c r="K9" i="8"/>
  <c r="J9" i="8"/>
  <c r="I9" i="8"/>
  <c r="N9" i="8"/>
  <c r="L9" i="8"/>
  <c r="L13" i="8"/>
  <c r="N13" i="8"/>
  <c r="J13" i="8"/>
  <c r="M13" i="8"/>
  <c r="K13" i="8"/>
  <c r="I13" i="8"/>
  <c r="J8" i="8"/>
  <c r="N8" i="8"/>
  <c r="M8" i="8"/>
  <c r="L8" i="8"/>
  <c r="I8" i="8"/>
  <c r="K8" i="8"/>
  <c r="J11" i="8"/>
  <c r="K11" i="8"/>
  <c r="N11" i="8"/>
  <c r="M11" i="8"/>
  <c r="L11" i="8"/>
  <c r="I11" i="8"/>
  <c r="J7" i="8"/>
  <c r="I7" i="8"/>
  <c r="N7" i="8"/>
  <c r="L7" i="8"/>
  <c r="K7" i="8"/>
  <c r="M7" i="8"/>
  <c r="B7" i="4"/>
  <c r="B3" i="4"/>
  <c r="B4" i="4"/>
  <c r="B8" i="4"/>
  <c r="B5" i="4"/>
  <c r="B6" i="4"/>
  <c r="B9" i="4"/>
  <c r="B2" i="4"/>
  <c r="H37" i="3"/>
  <c r="J36" i="3"/>
  <c r="M17" i="8" l="1"/>
  <c r="N17" i="8"/>
  <c r="L19" i="8"/>
  <c r="N19" i="8"/>
  <c r="K17" i="8"/>
  <c r="I17" i="8"/>
  <c r="K19" i="8"/>
  <c r="M19" i="8"/>
  <c r="L17" i="8"/>
  <c r="I19" i="8"/>
  <c r="J19" i="8"/>
  <c r="J17" i="8"/>
  <c r="H38" i="3"/>
  <c r="J37" i="3"/>
  <c r="M18" i="8" l="1"/>
  <c r="N18" i="8"/>
  <c r="L18" i="8"/>
  <c r="I18" i="8"/>
  <c r="B25" i="9" s="1"/>
  <c r="B26" i="9"/>
  <c r="B28" i="9" s="1"/>
  <c r="J18" i="8"/>
  <c r="C26" i="9"/>
  <c r="K18" i="8"/>
  <c r="H39" i="3"/>
  <c r="J38" i="3"/>
  <c r="C28" i="9" l="1"/>
  <c r="B29" i="9"/>
  <c r="C25" i="9"/>
  <c r="H40" i="3"/>
  <c r="J39" i="3"/>
  <c r="C29" i="9" l="1"/>
  <c r="B30" i="9"/>
  <c r="H41" i="3"/>
  <c r="J40" i="3"/>
  <c r="C30" i="9" l="1"/>
  <c r="C34" i="9" s="1"/>
  <c r="B34" i="9"/>
  <c r="H42" i="3"/>
  <c r="J41" i="3"/>
  <c r="H43" i="3" l="1"/>
  <c r="J42" i="3"/>
  <c r="H44" i="3" l="1"/>
  <c r="J43" i="3"/>
  <c r="H45" i="3" l="1"/>
  <c r="J44" i="3"/>
  <c r="H46" i="3" l="1"/>
  <c r="J45" i="3"/>
  <c r="H47" i="3" l="1"/>
  <c r="J46" i="3"/>
  <c r="H48" i="3" l="1"/>
  <c r="J47" i="3"/>
  <c r="H49" i="3" l="1"/>
  <c r="J48" i="3"/>
  <c r="H50" i="3" l="1"/>
  <c r="J49" i="3"/>
  <c r="H51" i="3" l="1"/>
  <c r="J50" i="3"/>
  <c r="H52" i="3" l="1"/>
  <c r="J51" i="3"/>
  <c r="H53" i="3" l="1"/>
  <c r="J52" i="3"/>
  <c r="H54" i="3" l="1"/>
  <c r="J53" i="3"/>
  <c r="H55" i="3" l="1"/>
  <c r="J54" i="3"/>
  <c r="J58" i="3" s="1"/>
  <c r="H58" i="3"/>
  <c r="D54" i="3" l="1"/>
  <c r="D53" i="4" s="1"/>
  <c r="D46" i="3"/>
  <c r="D37" i="4" s="1"/>
  <c r="D38" i="3"/>
  <c r="D21" i="4" s="1"/>
  <c r="D42" i="3"/>
  <c r="D29" i="4" s="1"/>
  <c r="D50" i="3"/>
  <c r="D45" i="4" s="1"/>
  <c r="D34" i="3"/>
  <c r="D13" i="4" s="1"/>
  <c r="D30" i="3"/>
  <c r="H56" i="3"/>
  <c r="J55" i="3"/>
  <c r="J59" i="3" s="1"/>
  <c r="E68" i="3" s="1"/>
  <c r="E69" i="3" s="1"/>
  <c r="H59" i="3"/>
  <c r="F68" i="3" l="1"/>
  <c r="F69" i="3" s="1"/>
  <c r="D55" i="3"/>
  <c r="D52" i="4" s="1"/>
  <c r="D43" i="3"/>
  <c r="D28" i="4" s="1"/>
  <c r="D39" i="3"/>
  <c r="D20" i="4" s="1"/>
  <c r="D47" i="3"/>
  <c r="D36" i="4" s="1"/>
  <c r="D35" i="3"/>
  <c r="D12" i="4" s="1"/>
  <c r="D51" i="3"/>
  <c r="D44" i="4" s="1"/>
  <c r="D58" i="3"/>
  <c r="D31" i="3"/>
  <c r="D5" i="4" s="1"/>
  <c r="C63" i="4" s="1"/>
  <c r="E63" i="4" s="1"/>
  <c r="H57" i="3"/>
  <c r="J56" i="3"/>
  <c r="J60" i="3" s="1"/>
  <c r="H60" i="3"/>
  <c r="D68" i="3" l="1"/>
  <c r="D69" i="3" s="1"/>
  <c r="H68" i="3"/>
  <c r="H69" i="3" s="1"/>
  <c r="D54" i="4"/>
  <c r="D38" i="4"/>
  <c r="D22" i="4"/>
  <c r="D30" i="4"/>
  <c r="D46" i="4"/>
  <c r="D14" i="4"/>
  <c r="D4" i="4"/>
  <c r="C62" i="4" s="1"/>
  <c r="E62" i="4" s="1"/>
  <c r="C68" i="3"/>
  <c r="C69" i="3" s="1"/>
  <c r="D48" i="3"/>
  <c r="D39" i="4" s="1"/>
  <c r="D44" i="3"/>
  <c r="D31" i="4" s="1"/>
  <c r="D36" i="3"/>
  <c r="D15" i="4" s="1"/>
  <c r="D56" i="3"/>
  <c r="D55" i="4" s="1"/>
  <c r="D40" i="3"/>
  <c r="D23" i="4" s="1"/>
  <c r="D52" i="3"/>
  <c r="D47" i="4" s="1"/>
  <c r="D59" i="3"/>
  <c r="G68" i="3"/>
  <c r="G69" i="3" s="1"/>
  <c r="D32" i="3"/>
  <c r="J57" i="3"/>
  <c r="J61" i="3" s="1"/>
  <c r="H61" i="3"/>
  <c r="D6" i="4" l="1"/>
  <c r="C64" i="4" s="1"/>
  <c r="E64" i="4" s="1"/>
  <c r="D7" i="4"/>
  <c r="C65" i="4" s="1"/>
  <c r="E65" i="4" s="1"/>
  <c r="D51" i="4"/>
  <c r="D50" i="4"/>
  <c r="D43" i="4"/>
  <c r="D42" i="4"/>
  <c r="D11" i="4"/>
  <c r="D10" i="4"/>
  <c r="D19" i="4"/>
  <c r="D18" i="4"/>
  <c r="D27" i="4"/>
  <c r="D26" i="4"/>
  <c r="D3" i="4"/>
  <c r="D34" i="4"/>
  <c r="D35" i="4"/>
  <c r="D2" i="4"/>
  <c r="D45" i="3"/>
  <c r="D41" i="3"/>
  <c r="D37" i="3"/>
  <c r="D53" i="3"/>
  <c r="D57" i="3"/>
  <c r="D49" i="3"/>
  <c r="J68" i="3"/>
  <c r="J69" i="3" s="1"/>
  <c r="D33" i="3"/>
  <c r="I68" i="3"/>
  <c r="I69" i="3" s="1"/>
  <c r="D60" i="3"/>
  <c r="J62" i="3"/>
  <c r="C60" i="4" l="1"/>
  <c r="E60" i="4" s="1"/>
  <c r="C61" i="4"/>
  <c r="E61" i="4" s="1"/>
  <c r="D40" i="4"/>
  <c r="D41" i="4"/>
  <c r="D48" i="4"/>
  <c r="D49" i="4"/>
  <c r="D56" i="4"/>
  <c r="D57" i="4"/>
  <c r="D16" i="4"/>
  <c r="D17" i="4"/>
  <c r="D24" i="4"/>
  <c r="D25" i="4"/>
  <c r="D32" i="4"/>
  <c r="D33" i="4"/>
  <c r="D8" i="4"/>
  <c r="D9" i="4"/>
  <c r="D61" i="3"/>
  <c r="D62" i="3" s="1"/>
  <c r="C67" i="4" l="1"/>
  <c r="E67" i="4" s="1"/>
  <c r="C66" i="4"/>
  <c r="E66" i="4" s="1"/>
</calcChain>
</file>

<file path=xl/sharedStrings.xml><?xml version="1.0" encoding="utf-8"?>
<sst xmlns="http://schemas.openxmlformats.org/spreadsheetml/2006/main" count="310" uniqueCount="125">
  <si>
    <t>青年1</t>
    <phoneticPr fontId="1" type="noConversion"/>
  </si>
  <si>
    <t>白领1</t>
    <phoneticPr fontId="1" type="noConversion"/>
  </si>
  <si>
    <t>商务1</t>
    <phoneticPr fontId="1" type="noConversion"/>
  </si>
  <si>
    <t>白领2</t>
    <phoneticPr fontId="1" type="noConversion"/>
  </si>
  <si>
    <t>商务2</t>
    <phoneticPr fontId="1" type="noConversion"/>
  </si>
  <si>
    <t>老年1</t>
    <phoneticPr fontId="1" type="noConversion"/>
  </si>
  <si>
    <t>老年2</t>
    <phoneticPr fontId="1" type="noConversion"/>
  </si>
  <si>
    <t>检错</t>
    <phoneticPr fontId="1" type="noConversion"/>
  </si>
  <si>
    <t>手工线需求产量</t>
    <phoneticPr fontId="1" type="noConversion"/>
  </si>
  <si>
    <t>柔性线需求产量</t>
    <phoneticPr fontId="1" type="noConversion"/>
  </si>
  <si>
    <t>柔性线生产投料量</t>
    <phoneticPr fontId="1" type="noConversion"/>
  </si>
  <si>
    <t>手工线生产投料量</t>
    <phoneticPr fontId="1" type="noConversion"/>
  </si>
  <si>
    <t>购买材料数量</t>
    <phoneticPr fontId="1" type="noConversion"/>
  </si>
  <si>
    <t>总量</t>
    <phoneticPr fontId="1" type="noConversion"/>
  </si>
  <si>
    <t>合计产成品</t>
    <phoneticPr fontId="1" type="noConversion"/>
  </si>
  <si>
    <t>市场</t>
  </si>
  <si>
    <t>群体</t>
  </si>
  <si>
    <t>华东市场</t>
  </si>
  <si>
    <t>商务</t>
  </si>
  <si>
    <t>白领</t>
  </si>
  <si>
    <t>青年</t>
  </si>
  <si>
    <t>老年</t>
  </si>
  <si>
    <t>其它线需求量</t>
    <phoneticPr fontId="1" type="noConversion"/>
  </si>
  <si>
    <t>其它线投料量</t>
    <phoneticPr fontId="1" type="noConversion"/>
  </si>
  <si>
    <t>余量</t>
    <phoneticPr fontId="1" type="noConversion"/>
  </si>
  <si>
    <t>产品类型</t>
    <phoneticPr fontId="1" type="noConversion"/>
  </si>
  <si>
    <t>产品名称</t>
    <phoneticPr fontId="1" type="noConversion"/>
  </si>
  <si>
    <t>购买量</t>
  </si>
  <si>
    <t>比例</t>
  </si>
  <si>
    <t>华北市场</t>
  </si>
  <si>
    <t>华南市场</t>
  </si>
  <si>
    <t>华中市场</t>
  </si>
  <si>
    <t>西南市场</t>
  </si>
  <si>
    <t>东北市场</t>
  </si>
  <si>
    <t>西北市场</t>
  </si>
  <si>
    <t>总市场</t>
  </si>
  <si>
    <t>合计</t>
  </si>
  <si>
    <t>需求量</t>
    <phoneticPr fontId="1" type="noConversion"/>
  </si>
  <si>
    <t>市场需求量</t>
    <phoneticPr fontId="1" type="noConversion"/>
  </si>
  <si>
    <t>市场占有率1</t>
    <phoneticPr fontId="1" type="noConversion"/>
  </si>
  <si>
    <t>市场占有率3</t>
    <phoneticPr fontId="1" type="noConversion"/>
  </si>
  <si>
    <t>市场占有率2</t>
    <phoneticPr fontId="1" type="noConversion"/>
  </si>
  <si>
    <t>市场占有率4</t>
    <phoneticPr fontId="1" type="noConversion"/>
  </si>
  <si>
    <t>选择</t>
    <phoneticPr fontId="1" type="noConversion"/>
  </si>
  <si>
    <t>还需要生产量</t>
    <phoneticPr fontId="1" type="noConversion"/>
  </si>
  <si>
    <t>销售</t>
  </si>
  <si>
    <t>华北</t>
  </si>
  <si>
    <t>华南</t>
  </si>
  <si>
    <t>华中</t>
  </si>
  <si>
    <t>西南</t>
  </si>
  <si>
    <t>东北</t>
  </si>
  <si>
    <t>西北</t>
  </si>
  <si>
    <t>白领1</t>
  </si>
  <si>
    <t>白领2</t>
  </si>
  <si>
    <t>商务1</t>
  </si>
  <si>
    <t>商务2</t>
  </si>
  <si>
    <t>青年1</t>
  </si>
  <si>
    <t>老年1</t>
  </si>
  <si>
    <t>老年2</t>
  </si>
  <si>
    <t>青年2</t>
  </si>
  <si>
    <t>青年2</t>
    <phoneticPr fontId="1" type="noConversion"/>
  </si>
  <si>
    <t>实际产量</t>
    <phoneticPr fontId="1" type="noConversion"/>
  </si>
  <si>
    <t>数据修正调整</t>
    <phoneticPr fontId="1" type="noConversion"/>
  </si>
  <si>
    <t>产品类型</t>
    <phoneticPr fontId="1" type="noConversion"/>
  </si>
  <si>
    <t>市场投入</t>
    <phoneticPr fontId="1" type="noConversion"/>
  </si>
  <si>
    <t>再投入修正</t>
    <phoneticPr fontId="1" type="noConversion"/>
  </si>
  <si>
    <t>产品名称</t>
    <phoneticPr fontId="1" type="noConversion"/>
  </si>
  <si>
    <t>第一季度</t>
  </si>
  <si>
    <t>第二季度</t>
  </si>
  <si>
    <t>第三季度</t>
  </si>
  <si>
    <t>第四季度</t>
  </si>
  <si>
    <t>第五季度</t>
  </si>
  <si>
    <t>第六季度</t>
  </si>
  <si>
    <t>总量</t>
  </si>
  <si>
    <t>是否紧急采购</t>
    <phoneticPr fontId="4" type="noConversion"/>
  </si>
  <si>
    <t>单价</t>
  </si>
  <si>
    <t>总价</t>
  </si>
  <si>
    <t>立即付款</t>
  </si>
  <si>
    <t>应付账款</t>
  </si>
  <si>
    <t>总付账款</t>
  </si>
  <si>
    <t>项目</t>
  </si>
  <si>
    <t>金额</t>
  </si>
  <si>
    <t>数量</t>
  </si>
  <si>
    <t>小计</t>
  </si>
  <si>
    <t>现金余量</t>
  </si>
  <si>
    <t>大厂房租金</t>
  </si>
  <si>
    <t>中厂房租金</t>
  </si>
  <si>
    <t>小厂房租金</t>
  </si>
  <si>
    <t>生产工人</t>
  </si>
  <si>
    <t>手工线制造费用</t>
  </si>
  <si>
    <t>柔性线制造费用</t>
  </si>
  <si>
    <t>管理费用</t>
  </si>
  <si>
    <t>销售费用</t>
  </si>
  <si>
    <t>行政管理费用</t>
  </si>
  <si>
    <t>出售手工线</t>
  </si>
  <si>
    <t>出售柔性线</t>
  </si>
  <si>
    <t>季度末余额</t>
  </si>
  <si>
    <t>手工线设备维护</t>
    <phoneticPr fontId="1" type="noConversion"/>
  </si>
  <si>
    <t>柔性线设备维护</t>
    <phoneticPr fontId="1" type="noConversion"/>
  </si>
  <si>
    <t>自动线设备维护</t>
    <phoneticPr fontId="1" type="noConversion"/>
  </si>
  <si>
    <t>自动线制造费用</t>
    <phoneticPr fontId="1" type="noConversion"/>
  </si>
  <si>
    <t>项目</t>
    <phoneticPr fontId="4" type="noConversion"/>
  </si>
  <si>
    <t>价钱</t>
    <phoneticPr fontId="1" type="noConversion"/>
  </si>
  <si>
    <t>交单后现金余量</t>
    <phoneticPr fontId="1" type="noConversion"/>
  </si>
  <si>
    <t>修正</t>
    <phoneticPr fontId="1" type="noConversion"/>
  </si>
  <si>
    <t>交单前现金余量</t>
    <phoneticPr fontId="1" type="noConversion"/>
  </si>
  <si>
    <t>下季度应收账款</t>
    <phoneticPr fontId="1" type="noConversion"/>
  </si>
  <si>
    <t>购买原材料应付账款</t>
    <phoneticPr fontId="1" type="noConversion"/>
  </si>
  <si>
    <t>办公室租金</t>
    <phoneticPr fontId="1" type="noConversion"/>
  </si>
  <si>
    <t>销项税</t>
    <phoneticPr fontId="1" type="noConversion"/>
  </si>
  <si>
    <t>进项税</t>
    <phoneticPr fontId="1" type="noConversion"/>
  </si>
  <si>
    <t>增值税</t>
    <phoneticPr fontId="1" type="noConversion"/>
  </si>
  <si>
    <t>其它税</t>
    <phoneticPr fontId="1" type="noConversion"/>
  </si>
  <si>
    <t>所得税</t>
    <phoneticPr fontId="1" type="noConversion"/>
  </si>
  <si>
    <t>应付账款——长期借款</t>
    <phoneticPr fontId="1" type="noConversion"/>
  </si>
  <si>
    <t>季度初结算</t>
    <phoneticPr fontId="1" type="noConversion"/>
  </si>
  <si>
    <t>购买原材料总账款</t>
    <phoneticPr fontId="1" type="noConversion"/>
  </si>
  <si>
    <t>贴现后</t>
    <phoneticPr fontId="1" type="noConversion"/>
  </si>
  <si>
    <t>青年</t>
    <phoneticPr fontId="1" type="noConversion"/>
  </si>
  <si>
    <t>数据修正调整</t>
  </si>
  <si>
    <t>产品类型</t>
  </si>
  <si>
    <t>产品名称</t>
  </si>
  <si>
    <t>市场投入</t>
  </si>
  <si>
    <t>实际产量</t>
  </si>
  <si>
    <t>再投入修正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</si>
</sst>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 tint="4.9989318521683403E-2"/>
      <name val="等线"/>
      <family val="2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14548173467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39991454817346722"/>
        <bgColor indexed="64"/>
      </patternFill>
    </fill>
    <fill>
      <patternFill patternType="solid">
        <fgColor theme="9" tint="0.39991454817346722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0" xfId="0" applyAlignment="1" applyProtection="1">
      <alignment horizontal="center" vertical="center"/>
    </xf>
    <xf numFmtId="0" fontId="0" fillId="7" borderId="1" xfId="0" applyFill="1" applyBorder="1" applyAlignment="1" applyProtection="1">
      <alignment horizontal="center" vertical="center"/>
    </xf>
    <xf numFmtId="0" fontId="0" fillId="6" borderId="1" xfId="0" applyFill="1" applyBorder="1" applyAlignment="1" applyProtection="1">
      <alignment horizontal="center" vertical="center"/>
    </xf>
    <xf numFmtId="0" fontId="2" fillId="7" borderId="1" xfId="0" applyFont="1" applyFill="1" applyBorder="1" applyAlignment="1" applyProtection="1">
      <alignment horizontal="center" vertical="center"/>
    </xf>
    <xf numFmtId="0" fontId="0" fillId="8" borderId="1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0" fillId="9" borderId="1" xfId="0" applyFill="1" applyBorder="1" applyAlignment="1" applyProtection="1">
      <alignment horizontal="center" vertical="center"/>
    </xf>
    <xf numFmtId="0" fontId="5" fillId="7" borderId="1" xfId="0" applyFont="1" applyFill="1" applyBorder="1" applyAlignment="1" applyProtection="1">
      <alignment horizontal="center" vertical="center"/>
    </xf>
    <xf numFmtId="0" fontId="5" fillId="6" borderId="1" xfId="0" applyFont="1" applyFill="1" applyBorder="1" applyAlignment="1" applyProtection="1">
      <alignment horizontal="center" vertical="center"/>
    </xf>
    <xf numFmtId="0" fontId="5" fillId="3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vertical="center"/>
    </xf>
    <xf numFmtId="9" fontId="0" fillId="4" borderId="0" xfId="0" applyNumberFormat="1" applyFill="1" applyAlignment="1" applyProtection="1">
      <alignment horizontal="center" vertical="center"/>
      <protection locked="0"/>
    </xf>
    <xf numFmtId="0" fontId="0" fillId="4" borderId="0" xfId="0" applyFill="1" applyAlignment="1" applyProtection="1">
      <alignment vertical="center"/>
      <protection locked="0"/>
    </xf>
    <xf numFmtId="0" fontId="5" fillId="10" borderId="1" xfId="0" applyFon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</xf>
    <xf numFmtId="0" fontId="0" fillId="5" borderId="0" xfId="0" applyFill="1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10" borderId="1" xfId="0" applyFill="1" applyBorder="1" applyAlignment="1" applyProtection="1">
      <alignment horizontal="center" vertical="center"/>
    </xf>
    <xf numFmtId="0" fontId="0" fillId="0" borderId="0" xfId="0" applyProtection="1">
      <alignment vertical="center"/>
    </xf>
    <xf numFmtId="0" fontId="0" fillId="11" borderId="4" xfId="0" applyFill="1" applyBorder="1" applyAlignment="1" applyProtection="1">
      <alignment horizontal="center" vertical="center"/>
    </xf>
    <xf numFmtId="0" fontId="0" fillId="11" borderId="5" xfId="0" applyFill="1" applyBorder="1" applyAlignment="1" applyProtection="1">
      <alignment horizontal="center"/>
    </xf>
    <xf numFmtId="0" fontId="0" fillId="11" borderId="0" xfId="0" applyFill="1" applyAlignment="1" applyProtection="1">
      <alignment horizontal="center" vertical="center"/>
    </xf>
    <xf numFmtId="0" fontId="0" fillId="6" borderId="0" xfId="0" applyFill="1" applyAlignment="1" applyProtection="1">
      <alignment horizontal="center" vertical="center"/>
    </xf>
    <xf numFmtId="0" fontId="0" fillId="6" borderId="0" xfId="0" applyFill="1" applyProtection="1">
      <alignment vertical="center"/>
    </xf>
    <xf numFmtId="0" fontId="0" fillId="0" borderId="0" xfId="0" applyAlignment="1" applyProtection="1">
      <alignment vertical="center"/>
    </xf>
    <xf numFmtId="0" fontId="0" fillId="4" borderId="0" xfId="0" applyFill="1" applyProtection="1">
      <alignment vertical="center"/>
      <protection locked="0"/>
    </xf>
    <xf numFmtId="0" fontId="6" fillId="4" borderId="1" xfId="0" applyFont="1" applyFill="1" applyBorder="1" applyProtection="1">
      <alignment vertical="center"/>
      <protection locked="0"/>
    </xf>
    <xf numFmtId="0" fontId="0" fillId="4" borderId="1" xfId="0" applyFill="1" applyBorder="1" applyProtection="1">
      <alignment vertical="center"/>
      <protection locked="0"/>
    </xf>
    <xf numFmtId="0" fontId="0" fillId="4" borderId="9" xfId="0" applyFill="1" applyBorder="1" applyProtection="1">
      <alignment vertical="center"/>
      <protection locked="0"/>
    </xf>
    <xf numFmtId="0" fontId="0" fillId="0" borderId="1" xfId="0" applyBorder="1" applyProtection="1">
      <alignment vertical="center"/>
    </xf>
    <xf numFmtId="0" fontId="0" fillId="0" borderId="9" xfId="0" applyFill="1" applyBorder="1" applyProtection="1">
      <alignment vertical="center"/>
    </xf>
    <xf numFmtId="0" fontId="0" fillId="10" borderId="1" xfId="0" applyFill="1" applyBorder="1" applyProtection="1">
      <alignment vertical="center"/>
    </xf>
    <xf numFmtId="0" fontId="3" fillId="0" borderId="1" xfId="0" applyFont="1" applyBorder="1" applyAlignment="1" applyProtection="1">
      <alignment vertical="center"/>
    </xf>
    <xf numFmtId="0" fontId="3" fillId="0" borderId="1" xfId="0" applyFont="1" applyFill="1" applyBorder="1" applyAlignment="1" applyProtection="1">
      <alignment vertical="center"/>
    </xf>
    <xf numFmtId="0" fontId="0" fillId="3" borderId="1" xfId="0" applyFill="1" applyBorder="1" applyProtection="1">
      <alignment vertical="center"/>
    </xf>
    <xf numFmtId="0" fontId="0" fillId="0" borderId="1" xfId="0" applyBorder="1" applyProtection="1">
      <alignment vertical="center"/>
      <protection locked="0"/>
    </xf>
    <xf numFmtId="0" fontId="3" fillId="4" borderId="1" xfId="0" applyFont="1" applyFill="1" applyBorder="1" applyProtection="1">
      <alignment vertical="center"/>
      <protection locked="0"/>
    </xf>
    <xf numFmtId="0" fontId="0" fillId="16" borderId="1" xfId="0" applyFill="1" applyBorder="1" applyProtection="1">
      <alignment vertical="center"/>
      <protection locked="0"/>
    </xf>
    <xf numFmtId="0" fontId="0" fillId="10" borderId="1" xfId="0" applyFill="1" applyBorder="1" applyAlignment="1" applyProtection="1">
      <alignment vertical="center"/>
    </xf>
    <xf numFmtId="0" fontId="0" fillId="0" borderId="1" xfId="0" applyBorder="1" applyAlignment="1" applyProtection="1"/>
    <xf numFmtId="0" fontId="0" fillId="0" borderId="1" xfId="0" applyFont="1" applyFill="1" applyBorder="1" applyAlignment="1" applyProtection="1"/>
    <xf numFmtId="0" fontId="0" fillId="2" borderId="1" xfId="0" applyFill="1" applyBorder="1" applyProtection="1">
      <alignment vertical="center"/>
    </xf>
    <xf numFmtId="0" fontId="0" fillId="2" borderId="1" xfId="0" applyFill="1" applyBorder="1" applyAlignment="1" applyProtection="1"/>
    <xf numFmtId="0" fontId="0" fillId="12" borderId="1" xfId="0" applyFill="1" applyBorder="1" applyAlignment="1" applyProtection="1"/>
    <xf numFmtId="0" fontId="0" fillId="13" borderId="1" xfId="0" applyFill="1" applyBorder="1" applyProtection="1">
      <alignment vertical="center"/>
    </xf>
    <xf numFmtId="0" fontId="0" fillId="13" borderId="1" xfId="0" applyFill="1" applyBorder="1" applyAlignment="1" applyProtection="1"/>
    <xf numFmtId="0" fontId="0" fillId="14" borderId="1" xfId="0" applyFill="1" applyBorder="1" applyAlignment="1" applyProtection="1"/>
    <xf numFmtId="0" fontId="0" fillId="15" borderId="1" xfId="0" applyFill="1" applyBorder="1" applyAlignment="1" applyProtection="1"/>
    <xf numFmtId="0" fontId="0" fillId="14" borderId="1" xfId="0" applyFill="1" applyBorder="1" applyProtection="1">
      <alignment vertical="center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0" fillId="6" borderId="6" xfId="0" applyFill="1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10" borderId="1" xfId="0" applyFill="1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1" xfId="0" applyBorder="1" applyAlignment="1" applyProtection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85725</xdr:rowOff>
        </xdr:from>
        <xdr:to>
          <xdr:col>1</xdr:col>
          <xdr:colOff>409575</xdr:colOff>
          <xdr:row>1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计算报价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0</xdr:row>
          <xdr:rowOff>47625</xdr:rowOff>
        </xdr:from>
        <xdr:to>
          <xdr:col>3</xdr:col>
          <xdr:colOff>171450</xdr:colOff>
          <xdr:row>1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495300</xdr:colOff>
          <xdr:row>1</xdr:row>
          <xdr:rowOff>38100</xdr:rowOff>
        </xdr:from>
        <xdr:to>
          <xdr:col>6</xdr:col>
          <xdr:colOff>581025</xdr:colOff>
          <xdr:row>2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第一步点击此处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</xdr:row>
          <xdr:rowOff>95250</xdr:rowOff>
        </xdr:from>
        <xdr:to>
          <xdr:col>6</xdr:col>
          <xdr:colOff>542925</xdr:colOff>
          <xdr:row>6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第二部按CTRL+P排序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9</xdr:row>
          <xdr:rowOff>133350</xdr:rowOff>
        </xdr:from>
        <xdr:to>
          <xdr:col>8</xdr:col>
          <xdr:colOff>171450</xdr:colOff>
          <xdr:row>11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每一次调整原材料购买须点击此处重置，不要移动选中单元格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5AE61-65B8-4F7B-848F-6FABC8AA88CD}">
  <sheetPr codeName="Sheet1"/>
  <dimension ref="A1:K81"/>
  <sheetViews>
    <sheetView topLeftCell="A34" zoomScale="95" zoomScaleNormal="95" workbookViewId="0">
      <selection activeCell="N9" sqref="N9"/>
    </sheetView>
  </sheetViews>
  <sheetFormatPr defaultRowHeight="14.25" x14ac:dyDescent="0.2"/>
  <cols>
    <col min="1" max="1" width="14.875" style="1" customWidth="1"/>
    <col min="2" max="4" width="9" style="1"/>
    <col min="5" max="5" width="11.5" style="1" customWidth="1"/>
    <col min="6" max="6" width="13" style="1" customWidth="1"/>
    <col min="7" max="7" width="12.5" style="1" customWidth="1"/>
    <col min="8" max="8" width="12.375" style="1" customWidth="1"/>
    <col min="9" max="10" width="9" style="1"/>
    <col min="11" max="11" width="12.625" style="1" customWidth="1"/>
    <col min="12" max="16384" width="9" style="25"/>
  </cols>
  <sheetData>
    <row r="1" spans="1:11" ht="23.25" customHeight="1" x14ac:dyDescent="0.2">
      <c r="A1" s="22"/>
      <c r="B1" s="22"/>
      <c r="C1" s="15">
        <v>212</v>
      </c>
      <c r="D1" s="15">
        <v>113</v>
      </c>
      <c r="E1" s="15">
        <v>1121</v>
      </c>
      <c r="F1" s="15">
        <v>113</v>
      </c>
      <c r="G1" s="15">
        <v>3333</v>
      </c>
      <c r="H1" s="15">
        <v>112</v>
      </c>
      <c r="I1" s="15">
        <v>111</v>
      </c>
      <c r="J1" s="15">
        <v>112</v>
      </c>
      <c r="K1" s="56" t="s">
        <v>13</v>
      </c>
    </row>
    <row r="2" spans="1:11" ht="23.25" customHeight="1" x14ac:dyDescent="0.2">
      <c r="A2" s="64" t="s">
        <v>25</v>
      </c>
      <c r="B2" s="65"/>
      <c r="C2" s="15" t="s">
        <v>20</v>
      </c>
      <c r="D2" s="15" t="s">
        <v>19</v>
      </c>
      <c r="E2" s="15" t="s">
        <v>19</v>
      </c>
      <c r="F2" s="15" t="s">
        <v>18</v>
      </c>
      <c r="G2" s="15" t="s">
        <v>18</v>
      </c>
      <c r="H2" s="15" t="s">
        <v>118</v>
      </c>
      <c r="I2" s="15" t="s">
        <v>21</v>
      </c>
      <c r="J2" s="15" t="s">
        <v>21</v>
      </c>
      <c r="K2" s="57"/>
    </row>
    <row r="3" spans="1:11" x14ac:dyDescent="0.2">
      <c r="A3" s="64" t="s">
        <v>26</v>
      </c>
      <c r="B3" s="65"/>
      <c r="C3" s="15" t="s">
        <v>0</v>
      </c>
      <c r="D3" s="15" t="s">
        <v>1</v>
      </c>
      <c r="E3" s="15" t="s">
        <v>3</v>
      </c>
      <c r="F3" s="15" t="s">
        <v>2</v>
      </c>
      <c r="G3" s="15" t="s">
        <v>4</v>
      </c>
      <c r="H3" s="15" t="s">
        <v>60</v>
      </c>
      <c r="I3" s="15" t="s">
        <v>5</v>
      </c>
      <c r="J3" s="15" t="s">
        <v>6</v>
      </c>
      <c r="K3" s="22" t="s">
        <v>12</v>
      </c>
    </row>
    <row r="4" spans="1:11" x14ac:dyDescent="0.2">
      <c r="A4" s="62">
        <v>1</v>
      </c>
      <c r="B4" s="2">
        <v>1.1000000000000001</v>
      </c>
      <c r="C4" s="2">
        <f>IF(MID($B4,3,1)=MID(C$1,1,1),1,0)</f>
        <v>0</v>
      </c>
      <c r="D4" s="2">
        <f t="shared" ref="D4:J4" si="0">IF(MID($B4,3,1)=MID(D$1,1,1),1,0)</f>
        <v>1</v>
      </c>
      <c r="E4" s="2">
        <f t="shared" si="0"/>
        <v>1</v>
      </c>
      <c r="F4" s="2">
        <f t="shared" si="0"/>
        <v>1</v>
      </c>
      <c r="G4" s="2">
        <f t="shared" si="0"/>
        <v>0</v>
      </c>
      <c r="H4" s="2">
        <f t="shared" si="0"/>
        <v>1</v>
      </c>
      <c r="I4" s="2">
        <f t="shared" si="0"/>
        <v>1</v>
      </c>
      <c r="J4" s="2">
        <f t="shared" si="0"/>
        <v>1</v>
      </c>
      <c r="K4" s="8">
        <f t="shared" ref="K4:K17" si="1">C4*$C$22+C4*$C$23+D4*$D$22+D4*$D$23+E4*$E$22+E4*$E$23+F4*$F$22+F4*$F$23+G4*$G$22+G4*$G$23+H4*$H$22+H4*$H$23+I4*$I$22+I4*$I$23+J4*$J$22+J4*$J$23</f>
        <v>540</v>
      </c>
    </row>
    <row r="5" spans="1:11" x14ac:dyDescent="0.2">
      <c r="A5" s="62"/>
      <c r="B5" s="3">
        <v>1.2</v>
      </c>
      <c r="C5" s="3">
        <f t="shared" ref="C5:C6" si="2">IF(MID($B5,3,1)=MID(C$1,1,1),1,0)</f>
        <v>1</v>
      </c>
      <c r="D5" s="3">
        <f t="shared" ref="D5:J6" si="3">IF(MID($B5,3,1)=MID(D$1,1,1),1,0)</f>
        <v>0</v>
      </c>
      <c r="E5" s="3">
        <f t="shared" si="3"/>
        <v>0</v>
      </c>
      <c r="F5" s="3">
        <f t="shared" si="3"/>
        <v>0</v>
      </c>
      <c r="G5" s="3">
        <f t="shared" si="3"/>
        <v>0</v>
      </c>
      <c r="H5" s="3">
        <f t="shared" si="3"/>
        <v>0</v>
      </c>
      <c r="I5" s="3">
        <f t="shared" si="3"/>
        <v>0</v>
      </c>
      <c r="J5" s="3">
        <f t="shared" si="3"/>
        <v>0</v>
      </c>
      <c r="K5" s="9">
        <f t="shared" si="1"/>
        <v>180</v>
      </c>
    </row>
    <row r="6" spans="1:11" x14ac:dyDescent="0.2">
      <c r="A6" s="62"/>
      <c r="B6" s="23">
        <v>1.3</v>
      </c>
      <c r="C6" s="23">
        <f t="shared" si="2"/>
        <v>0</v>
      </c>
      <c r="D6" s="23">
        <f t="shared" si="3"/>
        <v>0</v>
      </c>
      <c r="E6" s="23">
        <f t="shared" si="3"/>
        <v>0</v>
      </c>
      <c r="F6" s="23">
        <f t="shared" si="3"/>
        <v>0</v>
      </c>
      <c r="G6" s="23">
        <f t="shared" si="3"/>
        <v>1</v>
      </c>
      <c r="H6" s="23">
        <f t="shared" si="3"/>
        <v>0</v>
      </c>
      <c r="I6" s="23">
        <f t="shared" si="3"/>
        <v>0</v>
      </c>
      <c r="J6" s="23">
        <f t="shared" si="3"/>
        <v>0</v>
      </c>
      <c r="K6" s="10">
        <f t="shared" si="1"/>
        <v>0</v>
      </c>
    </row>
    <row r="7" spans="1:11" x14ac:dyDescent="0.2">
      <c r="A7" s="59">
        <v>2</v>
      </c>
      <c r="B7" s="4">
        <v>2.1</v>
      </c>
      <c r="C7" s="4">
        <f>IF(MID($B7,3,1)=MID(C$1,2,1),1,0)</f>
        <v>1</v>
      </c>
      <c r="D7" s="4">
        <f t="shared" ref="D7:J7" si="4">IF(MID($B7,3,1)=MID(D$1,2,1),1,0)</f>
        <v>1</v>
      </c>
      <c r="E7" s="4">
        <f t="shared" si="4"/>
        <v>1</v>
      </c>
      <c r="F7" s="4">
        <f t="shared" si="4"/>
        <v>1</v>
      </c>
      <c r="G7" s="4">
        <f t="shared" si="4"/>
        <v>0</v>
      </c>
      <c r="H7" s="4">
        <f t="shared" si="4"/>
        <v>1</v>
      </c>
      <c r="I7" s="4">
        <f t="shared" si="4"/>
        <v>1</v>
      </c>
      <c r="J7" s="4">
        <f t="shared" si="4"/>
        <v>1</v>
      </c>
      <c r="K7" s="8">
        <f t="shared" si="1"/>
        <v>720</v>
      </c>
    </row>
    <row r="8" spans="1:11" x14ac:dyDescent="0.2">
      <c r="A8" s="59"/>
      <c r="B8" s="5">
        <v>2.2000000000000002</v>
      </c>
      <c r="C8" s="5">
        <f t="shared" ref="C8:J9" si="5">IF(MID($B8,3,1)=MID(C$1,2,1),1,0)</f>
        <v>0</v>
      </c>
      <c r="D8" s="5">
        <f t="shared" si="5"/>
        <v>0</v>
      </c>
      <c r="E8" s="5">
        <f t="shared" si="5"/>
        <v>0</v>
      </c>
      <c r="F8" s="5">
        <f t="shared" si="5"/>
        <v>0</v>
      </c>
      <c r="G8" s="5">
        <f t="shared" si="5"/>
        <v>0</v>
      </c>
      <c r="H8" s="5">
        <f t="shared" si="5"/>
        <v>0</v>
      </c>
      <c r="I8" s="5">
        <f t="shared" si="5"/>
        <v>0</v>
      </c>
      <c r="J8" s="5">
        <f t="shared" si="5"/>
        <v>0</v>
      </c>
      <c r="K8" s="9">
        <f t="shared" si="1"/>
        <v>0</v>
      </c>
    </row>
    <row r="9" spans="1:11" x14ac:dyDescent="0.2">
      <c r="A9" s="59"/>
      <c r="B9" s="23">
        <v>2.2999999999999998</v>
      </c>
      <c r="C9" s="23">
        <f t="shared" si="5"/>
        <v>0</v>
      </c>
      <c r="D9" s="23">
        <f t="shared" si="5"/>
        <v>0</v>
      </c>
      <c r="E9" s="23">
        <f t="shared" si="5"/>
        <v>0</v>
      </c>
      <c r="F9" s="23">
        <f t="shared" si="5"/>
        <v>0</v>
      </c>
      <c r="G9" s="23">
        <f t="shared" si="5"/>
        <v>1</v>
      </c>
      <c r="H9" s="23">
        <f t="shared" si="5"/>
        <v>0</v>
      </c>
      <c r="I9" s="23">
        <f t="shared" si="5"/>
        <v>0</v>
      </c>
      <c r="J9" s="23">
        <f t="shared" si="5"/>
        <v>0</v>
      </c>
      <c r="K9" s="10">
        <f t="shared" si="1"/>
        <v>0</v>
      </c>
    </row>
    <row r="10" spans="1:11" x14ac:dyDescent="0.2">
      <c r="A10" s="62">
        <v>3</v>
      </c>
      <c r="B10" s="4">
        <v>3.1</v>
      </c>
      <c r="C10" s="4">
        <f>IF(MID($B10,3,1)=MID(C$1,3,1),1,0)</f>
        <v>0</v>
      </c>
      <c r="D10" s="4">
        <f t="shared" ref="D10:J10" si="6">IF(MID($B10,3,1)=MID(D$1,3,1),1,0)</f>
        <v>0</v>
      </c>
      <c r="E10" s="4">
        <f t="shared" si="6"/>
        <v>0</v>
      </c>
      <c r="F10" s="4">
        <f t="shared" si="6"/>
        <v>0</v>
      </c>
      <c r="G10" s="4">
        <f t="shared" si="6"/>
        <v>0</v>
      </c>
      <c r="H10" s="4">
        <f t="shared" si="6"/>
        <v>0</v>
      </c>
      <c r="I10" s="4">
        <f t="shared" si="6"/>
        <v>1</v>
      </c>
      <c r="J10" s="4">
        <f t="shared" si="6"/>
        <v>0</v>
      </c>
      <c r="K10" s="4">
        <f t="shared" si="1"/>
        <v>0</v>
      </c>
    </row>
    <row r="11" spans="1:11" x14ac:dyDescent="0.2">
      <c r="A11" s="62"/>
      <c r="B11" s="5">
        <v>3.2</v>
      </c>
      <c r="C11" s="5">
        <f t="shared" ref="C11:J13" si="7">IF(MID($B11,3,1)=MID(C$1,3,1),1,0)</f>
        <v>1</v>
      </c>
      <c r="D11" s="5">
        <f t="shared" si="7"/>
        <v>0</v>
      </c>
      <c r="E11" s="5">
        <f t="shared" si="7"/>
        <v>1</v>
      </c>
      <c r="F11" s="5">
        <f t="shared" si="7"/>
        <v>0</v>
      </c>
      <c r="G11" s="5">
        <f t="shared" si="7"/>
        <v>0</v>
      </c>
      <c r="H11" s="5">
        <f t="shared" si="7"/>
        <v>1</v>
      </c>
      <c r="I11" s="5">
        <f t="shared" si="7"/>
        <v>0</v>
      </c>
      <c r="J11" s="5">
        <f t="shared" si="7"/>
        <v>1</v>
      </c>
      <c r="K11" s="5">
        <f t="shared" si="1"/>
        <v>360</v>
      </c>
    </row>
    <row r="12" spans="1:11" x14ac:dyDescent="0.2">
      <c r="A12" s="62"/>
      <c r="B12" s="6">
        <v>3.3</v>
      </c>
      <c r="C12" s="6">
        <f t="shared" si="7"/>
        <v>0</v>
      </c>
      <c r="D12" s="6">
        <f t="shared" si="7"/>
        <v>1</v>
      </c>
      <c r="E12" s="6">
        <f t="shared" si="7"/>
        <v>0</v>
      </c>
      <c r="F12" s="6">
        <f t="shared" si="7"/>
        <v>1</v>
      </c>
      <c r="G12" s="6">
        <f t="shared" si="7"/>
        <v>1</v>
      </c>
      <c r="H12" s="6">
        <f t="shared" si="7"/>
        <v>0</v>
      </c>
      <c r="I12" s="6">
        <f t="shared" si="7"/>
        <v>0</v>
      </c>
      <c r="J12" s="6">
        <f t="shared" si="7"/>
        <v>0</v>
      </c>
      <c r="K12" s="6">
        <f t="shared" si="1"/>
        <v>360</v>
      </c>
    </row>
    <row r="13" spans="1:11" x14ac:dyDescent="0.2">
      <c r="A13" s="62"/>
      <c r="B13" s="7">
        <v>3.4</v>
      </c>
      <c r="C13" s="7">
        <f t="shared" si="7"/>
        <v>0</v>
      </c>
      <c r="D13" s="7">
        <f t="shared" si="7"/>
        <v>0</v>
      </c>
      <c r="E13" s="7">
        <f t="shared" si="7"/>
        <v>0</v>
      </c>
      <c r="F13" s="7">
        <f t="shared" si="7"/>
        <v>0</v>
      </c>
      <c r="G13" s="7">
        <f t="shared" si="7"/>
        <v>0</v>
      </c>
      <c r="H13" s="7">
        <f t="shared" si="7"/>
        <v>0</v>
      </c>
      <c r="I13" s="7">
        <f t="shared" si="7"/>
        <v>0</v>
      </c>
      <c r="J13" s="7">
        <f t="shared" si="7"/>
        <v>0</v>
      </c>
      <c r="K13" s="7">
        <f t="shared" si="1"/>
        <v>0</v>
      </c>
    </row>
    <row r="14" spans="1:11" x14ac:dyDescent="0.2">
      <c r="A14" s="59">
        <v>4</v>
      </c>
      <c r="B14" s="2">
        <v>4.0999999999999996</v>
      </c>
      <c r="C14" s="2">
        <f>IF(MID(C$1,4,4)="",0,IF(MID(C$1,4,1)=MID($B14,3,1),1,0))</f>
        <v>0</v>
      </c>
      <c r="D14" s="2">
        <f t="shared" ref="D14:J14" si="8">IF(MID(D$1,4,4)="",0,IF(MID(D$1,4,1)=MID($B14,3,1),1,0))</f>
        <v>0</v>
      </c>
      <c r="E14" s="2">
        <f t="shared" si="8"/>
        <v>1</v>
      </c>
      <c r="F14" s="2">
        <f t="shared" si="8"/>
        <v>0</v>
      </c>
      <c r="G14" s="2">
        <f t="shared" si="8"/>
        <v>0</v>
      </c>
      <c r="H14" s="2">
        <f t="shared" si="8"/>
        <v>0</v>
      </c>
      <c r="I14" s="2">
        <f t="shared" si="8"/>
        <v>0</v>
      </c>
      <c r="J14" s="2">
        <f t="shared" si="8"/>
        <v>0</v>
      </c>
      <c r="K14" s="4">
        <f t="shared" si="1"/>
        <v>180</v>
      </c>
    </row>
    <row r="15" spans="1:11" x14ac:dyDescent="0.2">
      <c r="A15" s="59"/>
      <c r="B15" s="5">
        <v>4.2</v>
      </c>
      <c r="C15" s="5">
        <f>IF(MID(C$1,4,1)="2",1,IF(MID(C$1,5,1)="2",1,0))</f>
        <v>0</v>
      </c>
      <c r="D15" s="5">
        <f t="shared" ref="D15:J15" si="9">IF(MID(D$1,4,1)="2",1,IF(MID(D$1,5,1)="2",1,0))</f>
        <v>0</v>
      </c>
      <c r="E15" s="5">
        <f t="shared" si="9"/>
        <v>0</v>
      </c>
      <c r="F15" s="5">
        <f t="shared" si="9"/>
        <v>0</v>
      </c>
      <c r="G15" s="5">
        <f t="shared" si="9"/>
        <v>0</v>
      </c>
      <c r="H15" s="5">
        <f t="shared" si="9"/>
        <v>0</v>
      </c>
      <c r="I15" s="5">
        <f t="shared" si="9"/>
        <v>0</v>
      </c>
      <c r="J15" s="5">
        <f t="shared" si="9"/>
        <v>0</v>
      </c>
      <c r="K15" s="5">
        <f t="shared" si="1"/>
        <v>0</v>
      </c>
    </row>
    <row r="16" spans="1:11" x14ac:dyDescent="0.2">
      <c r="A16" s="59"/>
      <c r="B16" s="23">
        <v>4.3</v>
      </c>
      <c r="C16" s="23">
        <f>IF(MID(C$1,4,1)="3",1,IF(MID(C$1,5,1)="3",1,IF(MID(C$1,6,1)="3",1,0)))</f>
        <v>0</v>
      </c>
      <c r="D16" s="23">
        <f t="shared" ref="D16:J16" si="10">IF(MID(D$1,4,1)="3",1,IF(MID(D$1,5,1)="3",1,IF(MID(D$1,6,1)="3",1,0)))</f>
        <v>0</v>
      </c>
      <c r="E16" s="23">
        <f t="shared" si="10"/>
        <v>0</v>
      </c>
      <c r="F16" s="23">
        <f t="shared" si="10"/>
        <v>0</v>
      </c>
      <c r="G16" s="23">
        <f t="shared" si="10"/>
        <v>1</v>
      </c>
      <c r="H16" s="23">
        <f t="shared" si="10"/>
        <v>0</v>
      </c>
      <c r="I16" s="23">
        <f t="shared" si="10"/>
        <v>0</v>
      </c>
      <c r="J16" s="23">
        <f t="shared" si="10"/>
        <v>0</v>
      </c>
      <c r="K16" s="6">
        <f t="shared" si="1"/>
        <v>0</v>
      </c>
    </row>
    <row r="17" spans="1:11" x14ac:dyDescent="0.2">
      <c r="A17" s="59"/>
      <c r="B17" s="7">
        <v>4.4000000000000004</v>
      </c>
      <c r="C17" s="7">
        <f>IF(MID(C$1,4,1)="4",1,IF(MID(C$1,5,1)="4",1,IF(MID(C$1,6,1)="4",1,IF(MID(C$1,7,1)="4",1,0))))</f>
        <v>0</v>
      </c>
      <c r="D17" s="7">
        <f t="shared" ref="D17:J17" si="11">IF(MID(D$1,4,1)="4",1,IF(MID(D$1,5,1)="4",1,IF(MID(D$1,6,1)="4",1,IF(MID(D$1,7,1)="4",1,0))))</f>
        <v>0</v>
      </c>
      <c r="E17" s="7">
        <f t="shared" si="11"/>
        <v>0</v>
      </c>
      <c r="F17" s="7">
        <f t="shared" si="11"/>
        <v>0</v>
      </c>
      <c r="G17" s="7">
        <f t="shared" si="11"/>
        <v>0</v>
      </c>
      <c r="H17" s="7">
        <f t="shared" si="11"/>
        <v>0</v>
      </c>
      <c r="I17" s="7">
        <f t="shared" si="11"/>
        <v>0</v>
      </c>
      <c r="J17" s="7">
        <f t="shared" si="11"/>
        <v>0</v>
      </c>
      <c r="K17" s="7">
        <f t="shared" si="1"/>
        <v>0</v>
      </c>
    </row>
    <row r="18" spans="1:11" x14ac:dyDescent="0.2">
      <c r="A18" s="63" t="s">
        <v>7</v>
      </c>
      <c r="B18" s="63"/>
      <c r="C18" s="24" t="str">
        <f t="shared" ref="C18:G18" si="12">IF(SUM(C4:C17)=0,"ture",IF(SUM(C4:C6)=1,IF(SUM(C7:C9)=1,IF(SUM(C10:C13)=1,IF(SUM(C14:C17)=0,"TURE",IF(SUM(C14:C17)=4,"TURE",IF(SUM(C14:C17)=3,"TURE",IF(SUM(C14:C17)=2,"TURE",IF(SUM(C14:C17)=1,"TURE","FALSE")))))))))</f>
        <v>TURE</v>
      </c>
      <c r="D18" s="24" t="str">
        <f t="shared" si="12"/>
        <v>TURE</v>
      </c>
      <c r="E18" s="24" t="str">
        <f t="shared" si="12"/>
        <v>TURE</v>
      </c>
      <c r="F18" s="24" t="str">
        <f t="shared" si="12"/>
        <v>TURE</v>
      </c>
      <c r="G18" s="24" t="str">
        <f t="shared" si="12"/>
        <v>TURE</v>
      </c>
      <c r="H18" s="24" t="str">
        <f>IF(SUM(H4:H17)=0,"ture",IF(SUM(H4:H6)=1,IF(SUM(H7:H9)=1,IF(SUM(H10:H13)=1,IF(SUM(H14:H17)=0,"TURE",IF(SUM(H14:H17)=4,"TURE",IF(SUM(H14:H17)=3,"TURE",IF(SUM(H14:H17)=2,"TURE",IF(SUM(H14:H17)=1,"TURE","FALSE")))))))))</f>
        <v>TURE</v>
      </c>
      <c r="I18" s="24" t="str">
        <f t="shared" ref="I18:J18" si="13">IF(SUM(I4:I17)=0,"ture",IF(SUM(I4:I6)=1,IF(SUM(I7:I9)=1,IF(SUM(I10:I13)=1,IF(SUM(I14:I17)=0,"TURE",IF(SUM(I14:I17)=4,"TURE",IF(SUM(I14:I17)=3,"TURE",IF(SUM(I14:I17)=2,"TURE",IF(SUM(I14:I17)=1,"TURE","FALSE")))))))))</f>
        <v>TURE</v>
      </c>
      <c r="J18" s="24" t="str">
        <f t="shared" si="13"/>
        <v>TURE</v>
      </c>
      <c r="K18" s="14"/>
    </row>
    <row r="19" spans="1:11" x14ac:dyDescent="0.2">
      <c r="A19" s="11" t="s">
        <v>8</v>
      </c>
      <c r="B19" s="15">
        <v>0.75</v>
      </c>
      <c r="C19" s="15">
        <v>135</v>
      </c>
      <c r="D19" s="15">
        <v>135</v>
      </c>
      <c r="E19" s="15">
        <v>135</v>
      </c>
      <c r="F19" s="15">
        <v>135</v>
      </c>
      <c r="G19" s="15">
        <v>0</v>
      </c>
      <c r="H19" s="15">
        <v>0</v>
      </c>
      <c r="I19" s="15">
        <v>0</v>
      </c>
      <c r="J19" s="15">
        <v>0</v>
      </c>
      <c r="K19" s="22">
        <v>0</v>
      </c>
    </row>
    <row r="20" spans="1:11" x14ac:dyDescent="0.2">
      <c r="A20" s="11" t="s">
        <v>9</v>
      </c>
      <c r="B20" s="15">
        <v>0.9</v>
      </c>
      <c r="C20" s="15">
        <v>0</v>
      </c>
      <c r="D20" s="15">
        <v>0</v>
      </c>
      <c r="E20" s="15">
        <v>0</v>
      </c>
      <c r="F20" s="15">
        <v>0</v>
      </c>
      <c r="G20" s="15">
        <v>0</v>
      </c>
      <c r="H20" s="15">
        <v>0</v>
      </c>
      <c r="I20" s="15">
        <v>0</v>
      </c>
      <c r="J20" s="15">
        <v>0</v>
      </c>
      <c r="K20" s="22">
        <v>0</v>
      </c>
    </row>
    <row r="21" spans="1:11" x14ac:dyDescent="0.2">
      <c r="A21" s="22" t="s">
        <v>22</v>
      </c>
      <c r="B21" s="15">
        <v>0.85</v>
      </c>
      <c r="C21" s="15">
        <v>0</v>
      </c>
      <c r="D21" s="15">
        <v>0</v>
      </c>
      <c r="E21" s="15">
        <v>0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22">
        <v>0</v>
      </c>
    </row>
    <row r="22" spans="1:11" x14ac:dyDescent="0.2">
      <c r="A22" s="59" t="s">
        <v>11</v>
      </c>
      <c r="B22" s="59"/>
      <c r="C22" s="22">
        <f>INT(C19/$B$19)</f>
        <v>180</v>
      </c>
      <c r="D22" s="22">
        <f t="shared" ref="D22:K22" si="14">INT(D19/$B$19)</f>
        <v>180</v>
      </c>
      <c r="E22" s="22">
        <f t="shared" si="14"/>
        <v>180</v>
      </c>
      <c r="F22" s="22">
        <f t="shared" si="14"/>
        <v>180</v>
      </c>
      <c r="G22" s="22">
        <f t="shared" si="14"/>
        <v>0</v>
      </c>
      <c r="H22" s="22">
        <f t="shared" si="14"/>
        <v>0</v>
      </c>
      <c r="I22" s="22">
        <f t="shared" si="14"/>
        <v>0</v>
      </c>
      <c r="J22" s="22">
        <f t="shared" si="14"/>
        <v>0</v>
      </c>
      <c r="K22" s="22">
        <f t="shared" si="14"/>
        <v>0</v>
      </c>
    </row>
    <row r="23" spans="1:11" x14ac:dyDescent="0.2">
      <c r="A23" s="59" t="s">
        <v>10</v>
      </c>
      <c r="B23" s="59"/>
      <c r="C23" s="22">
        <f>INT(C20/$B$20)</f>
        <v>0</v>
      </c>
      <c r="D23" s="22">
        <f t="shared" ref="D23:K23" si="15">INT(D20/$B$20)</f>
        <v>0</v>
      </c>
      <c r="E23" s="22">
        <f t="shared" si="15"/>
        <v>0</v>
      </c>
      <c r="F23" s="22">
        <f t="shared" si="15"/>
        <v>0</v>
      </c>
      <c r="G23" s="22">
        <f t="shared" si="15"/>
        <v>0</v>
      </c>
      <c r="H23" s="22">
        <f t="shared" si="15"/>
        <v>0</v>
      </c>
      <c r="I23" s="22">
        <f t="shared" si="15"/>
        <v>0</v>
      </c>
      <c r="J23" s="22">
        <f t="shared" si="15"/>
        <v>0</v>
      </c>
      <c r="K23" s="22">
        <f t="shared" si="15"/>
        <v>0</v>
      </c>
    </row>
    <row r="24" spans="1:11" x14ac:dyDescent="0.2">
      <c r="A24" s="59" t="s">
        <v>23</v>
      </c>
      <c r="B24" s="59"/>
      <c r="C24" s="22">
        <f>INT(C21/$B$21)</f>
        <v>0</v>
      </c>
      <c r="D24" s="22">
        <f t="shared" ref="D24:K24" si="16">INT(D21/$B$21)</f>
        <v>0</v>
      </c>
      <c r="E24" s="22">
        <f t="shared" si="16"/>
        <v>0</v>
      </c>
      <c r="F24" s="22">
        <f t="shared" si="16"/>
        <v>0</v>
      </c>
      <c r="G24" s="22">
        <f t="shared" si="16"/>
        <v>0</v>
      </c>
      <c r="H24" s="22">
        <f t="shared" si="16"/>
        <v>0</v>
      </c>
      <c r="I24" s="22">
        <f t="shared" si="16"/>
        <v>0</v>
      </c>
      <c r="J24" s="22">
        <f t="shared" si="16"/>
        <v>0</v>
      </c>
      <c r="K24" s="22">
        <f t="shared" si="16"/>
        <v>0</v>
      </c>
    </row>
    <row r="25" spans="1:11" x14ac:dyDescent="0.2">
      <c r="A25" s="59" t="s">
        <v>24</v>
      </c>
      <c r="B25" s="59"/>
      <c r="C25" s="15">
        <v>0</v>
      </c>
      <c r="D25" s="15">
        <v>0</v>
      </c>
      <c r="E25" s="15">
        <v>0</v>
      </c>
      <c r="F25" s="15">
        <v>0</v>
      </c>
      <c r="G25" s="15">
        <v>0</v>
      </c>
      <c r="H25" s="15">
        <v>0</v>
      </c>
      <c r="I25" s="15">
        <v>0</v>
      </c>
      <c r="J25" s="15">
        <v>0</v>
      </c>
      <c r="K25" s="16">
        <v>0</v>
      </c>
    </row>
    <row r="26" spans="1:11" x14ac:dyDescent="0.2">
      <c r="A26" s="59" t="s">
        <v>14</v>
      </c>
      <c r="B26" s="59"/>
      <c r="C26" s="22">
        <f>C19+C20+C21+C25</f>
        <v>135</v>
      </c>
      <c r="D26" s="22">
        <f t="shared" ref="D26:K26" si="17">D19+D20+D21+D25</f>
        <v>135</v>
      </c>
      <c r="E26" s="22">
        <f t="shared" si="17"/>
        <v>135</v>
      </c>
      <c r="F26" s="22">
        <f t="shared" si="17"/>
        <v>135</v>
      </c>
      <c r="G26" s="22">
        <f t="shared" si="17"/>
        <v>0</v>
      </c>
      <c r="H26" s="22">
        <f t="shared" si="17"/>
        <v>0</v>
      </c>
      <c r="I26" s="22">
        <f t="shared" si="17"/>
        <v>0</v>
      </c>
      <c r="J26" s="22">
        <f t="shared" si="17"/>
        <v>0</v>
      </c>
      <c r="K26" s="22">
        <f t="shared" si="17"/>
        <v>0</v>
      </c>
    </row>
    <row r="29" spans="1:11" x14ac:dyDescent="0.2">
      <c r="A29" s="26" t="s">
        <v>15</v>
      </c>
      <c r="B29" s="27" t="s">
        <v>16</v>
      </c>
      <c r="C29" s="27" t="s">
        <v>27</v>
      </c>
      <c r="D29" s="27" t="s">
        <v>28</v>
      </c>
      <c r="E29" s="28" t="s">
        <v>39</v>
      </c>
      <c r="F29" s="28" t="s">
        <v>41</v>
      </c>
      <c r="G29" s="28" t="s">
        <v>40</v>
      </c>
      <c r="H29" s="28" t="s">
        <v>42</v>
      </c>
      <c r="I29" s="28" t="s">
        <v>43</v>
      </c>
      <c r="J29" s="28" t="s">
        <v>37</v>
      </c>
      <c r="K29" s="25"/>
    </row>
    <row r="30" spans="1:11" x14ac:dyDescent="0.2">
      <c r="A30" s="60" t="s">
        <v>17</v>
      </c>
      <c r="B30" s="29" t="s">
        <v>18</v>
      </c>
      <c r="C30" s="32">
        <v>1300</v>
      </c>
      <c r="D30" s="30">
        <f>IF(J58=0,0,J30/J58)</f>
        <v>1</v>
      </c>
      <c r="E30" s="12">
        <v>0</v>
      </c>
      <c r="F30" s="13">
        <v>0.05</v>
      </c>
      <c r="G30" s="21">
        <v>0.05</v>
      </c>
      <c r="H30" s="13">
        <v>0.08</v>
      </c>
      <c r="I30" s="58">
        <v>4</v>
      </c>
      <c r="J30" s="1">
        <f>ROUNDUP(IF($I$30=1,C30*E30,IF($I$30=2,C30*F30,IF($I$30=3,C30*G30,IF($I$30=4,C30*H30)))),0)</f>
        <v>104</v>
      </c>
      <c r="K30" s="25"/>
    </row>
    <row r="31" spans="1:11" x14ac:dyDescent="0.2">
      <c r="A31" s="60"/>
      <c r="B31" s="29" t="s">
        <v>19</v>
      </c>
      <c r="C31" s="32">
        <v>1340</v>
      </c>
      <c r="D31" s="30">
        <f t="shared" ref="D31:D33" si="18">IF(J59=0,0,J31/J59)</f>
        <v>1</v>
      </c>
      <c r="E31" s="12">
        <v>0</v>
      </c>
      <c r="F31" s="31">
        <f>F30</f>
        <v>0.05</v>
      </c>
      <c r="G31" s="21">
        <v>0.05</v>
      </c>
      <c r="H31" s="31">
        <f>H30</f>
        <v>0.08</v>
      </c>
      <c r="I31" s="58"/>
      <c r="J31" s="1">
        <f t="shared" ref="J31:J57" si="19">ROUNDUP(IF($I$30=1,C31*E31,IF($I$30=2,C31*F31,IF($I$30=3,C31*G31,IF($I$30=4,C31*H31)))),0)</f>
        <v>108</v>
      </c>
      <c r="K31" s="25"/>
    </row>
    <row r="32" spans="1:11" x14ac:dyDescent="0.2">
      <c r="A32" s="60"/>
      <c r="B32" s="29" t="s">
        <v>20</v>
      </c>
      <c r="C32" s="32">
        <v>980</v>
      </c>
      <c r="D32" s="30">
        <f t="shared" si="18"/>
        <v>1</v>
      </c>
      <c r="E32" s="12">
        <v>0</v>
      </c>
      <c r="F32" s="31">
        <f t="shared" ref="F32:F33" si="20">F31</f>
        <v>0.05</v>
      </c>
      <c r="G32" s="21">
        <v>0.05</v>
      </c>
      <c r="H32" s="31">
        <f t="shared" ref="H32:H57" si="21">H31</f>
        <v>0.08</v>
      </c>
      <c r="I32" s="58"/>
      <c r="J32" s="1">
        <f t="shared" si="19"/>
        <v>79</v>
      </c>
      <c r="K32" s="25"/>
    </row>
    <row r="33" spans="1:11" x14ac:dyDescent="0.2">
      <c r="A33" s="60"/>
      <c r="B33" s="29" t="s">
        <v>21</v>
      </c>
      <c r="C33" s="32">
        <v>0</v>
      </c>
      <c r="D33" s="30">
        <f t="shared" si="18"/>
        <v>0</v>
      </c>
      <c r="E33" s="12">
        <v>0</v>
      </c>
      <c r="F33" s="31">
        <f t="shared" si="20"/>
        <v>0.05</v>
      </c>
      <c r="G33" s="21">
        <v>0.05</v>
      </c>
      <c r="H33" s="31">
        <f t="shared" si="21"/>
        <v>0.08</v>
      </c>
      <c r="I33" s="58"/>
      <c r="J33" s="1">
        <f t="shared" si="19"/>
        <v>0</v>
      </c>
      <c r="K33" s="25"/>
    </row>
    <row r="34" spans="1:11" x14ac:dyDescent="0.2">
      <c r="A34" s="61" t="s">
        <v>29</v>
      </c>
      <c r="B34" s="1" t="s">
        <v>18</v>
      </c>
      <c r="C34" s="32">
        <v>0</v>
      </c>
      <c r="D34" s="30">
        <f>IF(J58=0,0,J34/J58)</f>
        <v>0</v>
      </c>
      <c r="E34" s="12">
        <v>0</v>
      </c>
      <c r="F34" s="13">
        <v>0.05</v>
      </c>
      <c r="G34" s="1">
        <f>G30</f>
        <v>0.05</v>
      </c>
      <c r="H34" s="31">
        <f t="shared" si="21"/>
        <v>0.08</v>
      </c>
      <c r="I34" s="58"/>
      <c r="J34" s="1">
        <f t="shared" si="19"/>
        <v>0</v>
      </c>
      <c r="K34" s="25"/>
    </row>
    <row r="35" spans="1:11" x14ac:dyDescent="0.2">
      <c r="A35" s="61"/>
      <c r="B35" s="1" t="s">
        <v>19</v>
      </c>
      <c r="C35" s="32">
        <v>0</v>
      </c>
      <c r="D35" s="30">
        <f t="shared" ref="D35:D37" si="22">IF(J59=0,0,J35/J59)</f>
        <v>0</v>
      </c>
      <c r="E35" s="12">
        <v>0</v>
      </c>
      <c r="F35" s="31">
        <f>F34</f>
        <v>0.05</v>
      </c>
      <c r="G35" s="1">
        <f t="shared" ref="G35:G57" si="23">G31</f>
        <v>0.05</v>
      </c>
      <c r="H35" s="31">
        <f t="shared" si="21"/>
        <v>0.08</v>
      </c>
      <c r="I35" s="58"/>
      <c r="J35" s="1">
        <f t="shared" si="19"/>
        <v>0</v>
      </c>
      <c r="K35" s="25"/>
    </row>
    <row r="36" spans="1:11" x14ac:dyDescent="0.2">
      <c r="A36" s="61"/>
      <c r="B36" s="1" t="s">
        <v>20</v>
      </c>
      <c r="C36" s="32">
        <v>0</v>
      </c>
      <c r="D36" s="30">
        <f t="shared" si="22"/>
        <v>0</v>
      </c>
      <c r="E36" s="12">
        <v>0</v>
      </c>
      <c r="F36" s="31">
        <f t="shared" ref="F36:F37" si="24">F35</f>
        <v>0.05</v>
      </c>
      <c r="G36" s="1">
        <f t="shared" si="23"/>
        <v>0.05</v>
      </c>
      <c r="H36" s="31">
        <f t="shared" si="21"/>
        <v>0.08</v>
      </c>
      <c r="I36" s="58"/>
      <c r="J36" s="1">
        <f t="shared" si="19"/>
        <v>0</v>
      </c>
      <c r="K36" s="25"/>
    </row>
    <row r="37" spans="1:11" x14ac:dyDescent="0.2">
      <c r="A37" s="61"/>
      <c r="B37" s="1" t="s">
        <v>21</v>
      </c>
      <c r="C37" s="32">
        <v>0</v>
      </c>
      <c r="D37" s="30">
        <f t="shared" si="22"/>
        <v>0</v>
      </c>
      <c r="E37" s="12">
        <v>0</v>
      </c>
      <c r="F37" s="31">
        <f t="shared" si="24"/>
        <v>0.05</v>
      </c>
      <c r="G37" s="1">
        <f t="shared" si="23"/>
        <v>0.05</v>
      </c>
      <c r="H37" s="31">
        <f t="shared" si="21"/>
        <v>0.08</v>
      </c>
      <c r="I37" s="58"/>
      <c r="J37" s="1">
        <f t="shared" si="19"/>
        <v>0</v>
      </c>
      <c r="K37" s="25"/>
    </row>
    <row r="38" spans="1:11" x14ac:dyDescent="0.2">
      <c r="A38" s="60" t="s">
        <v>30</v>
      </c>
      <c r="B38" s="29" t="s">
        <v>18</v>
      </c>
      <c r="C38" s="32">
        <v>0</v>
      </c>
      <c r="D38" s="30">
        <f>IF(J58=0,0,J38/J58)</f>
        <v>0</v>
      </c>
      <c r="E38" s="12">
        <v>0</v>
      </c>
      <c r="F38" s="13">
        <v>0.5</v>
      </c>
      <c r="G38" s="1">
        <f t="shared" si="23"/>
        <v>0.05</v>
      </c>
      <c r="H38" s="31">
        <f t="shared" si="21"/>
        <v>0.08</v>
      </c>
      <c r="I38" s="58"/>
      <c r="J38" s="1">
        <f t="shared" si="19"/>
        <v>0</v>
      </c>
      <c r="K38" s="25"/>
    </row>
    <row r="39" spans="1:11" x14ac:dyDescent="0.2">
      <c r="A39" s="60"/>
      <c r="B39" s="29" t="s">
        <v>19</v>
      </c>
      <c r="C39" s="32">
        <v>0</v>
      </c>
      <c r="D39" s="30">
        <f t="shared" ref="D39:D41" si="25">IF(J59=0,0,J39/J59)</f>
        <v>0</v>
      </c>
      <c r="E39" s="12">
        <v>0</v>
      </c>
      <c r="F39" s="31">
        <f>F38</f>
        <v>0.5</v>
      </c>
      <c r="G39" s="1">
        <f t="shared" si="23"/>
        <v>0.05</v>
      </c>
      <c r="H39" s="31">
        <f t="shared" si="21"/>
        <v>0.08</v>
      </c>
      <c r="I39" s="58"/>
      <c r="J39" s="1">
        <f t="shared" si="19"/>
        <v>0</v>
      </c>
      <c r="K39" s="25"/>
    </row>
    <row r="40" spans="1:11" x14ac:dyDescent="0.2">
      <c r="A40" s="60"/>
      <c r="B40" s="29" t="s">
        <v>20</v>
      </c>
      <c r="C40" s="32">
        <v>0</v>
      </c>
      <c r="D40" s="30">
        <f t="shared" si="25"/>
        <v>0</v>
      </c>
      <c r="E40" s="12">
        <v>0</v>
      </c>
      <c r="F40" s="31">
        <f t="shared" ref="F40:F41" si="26">F39</f>
        <v>0.5</v>
      </c>
      <c r="G40" s="1">
        <f t="shared" si="23"/>
        <v>0.05</v>
      </c>
      <c r="H40" s="31">
        <f t="shared" si="21"/>
        <v>0.08</v>
      </c>
      <c r="I40" s="58"/>
      <c r="J40" s="1">
        <f t="shared" si="19"/>
        <v>0</v>
      </c>
      <c r="K40" s="25"/>
    </row>
    <row r="41" spans="1:11" x14ac:dyDescent="0.2">
      <c r="A41" s="60"/>
      <c r="B41" s="29" t="s">
        <v>21</v>
      </c>
      <c r="C41" s="32">
        <v>0</v>
      </c>
      <c r="D41" s="30">
        <f t="shared" si="25"/>
        <v>0</v>
      </c>
      <c r="E41" s="12">
        <v>0</v>
      </c>
      <c r="F41" s="31">
        <f t="shared" si="26"/>
        <v>0.5</v>
      </c>
      <c r="G41" s="1">
        <f t="shared" si="23"/>
        <v>0.05</v>
      </c>
      <c r="H41" s="31">
        <f t="shared" si="21"/>
        <v>0.08</v>
      </c>
      <c r="I41" s="58"/>
      <c r="J41" s="1">
        <f t="shared" si="19"/>
        <v>0</v>
      </c>
      <c r="K41" s="25"/>
    </row>
    <row r="42" spans="1:11" x14ac:dyDescent="0.2">
      <c r="A42" s="61" t="s">
        <v>31</v>
      </c>
      <c r="B42" s="1" t="s">
        <v>18</v>
      </c>
      <c r="C42" s="32">
        <v>0</v>
      </c>
      <c r="D42" s="30">
        <f>IF(J58=0,0,J42/J58)</f>
        <v>0</v>
      </c>
      <c r="E42" s="12">
        <v>0</v>
      </c>
      <c r="F42" s="13">
        <v>0.05</v>
      </c>
      <c r="G42" s="1">
        <f t="shared" si="23"/>
        <v>0.05</v>
      </c>
      <c r="H42" s="31">
        <f t="shared" si="21"/>
        <v>0.08</v>
      </c>
      <c r="I42" s="58"/>
      <c r="J42" s="1">
        <f t="shared" si="19"/>
        <v>0</v>
      </c>
      <c r="K42" s="25"/>
    </row>
    <row r="43" spans="1:11" x14ac:dyDescent="0.2">
      <c r="A43" s="61"/>
      <c r="B43" s="1" t="s">
        <v>19</v>
      </c>
      <c r="C43" s="32">
        <v>0</v>
      </c>
      <c r="D43" s="30">
        <f t="shared" ref="D43:D45" si="27">IF(J59=0,0,J43/J59)</f>
        <v>0</v>
      </c>
      <c r="E43" s="12">
        <v>0</v>
      </c>
      <c r="F43" s="31">
        <f>F42</f>
        <v>0.05</v>
      </c>
      <c r="G43" s="1">
        <f t="shared" si="23"/>
        <v>0.05</v>
      </c>
      <c r="H43" s="31">
        <f t="shared" si="21"/>
        <v>0.08</v>
      </c>
      <c r="I43" s="58"/>
      <c r="J43" s="1">
        <f t="shared" si="19"/>
        <v>0</v>
      </c>
      <c r="K43" s="25"/>
    </row>
    <row r="44" spans="1:11" x14ac:dyDescent="0.2">
      <c r="A44" s="61"/>
      <c r="B44" s="1" t="s">
        <v>20</v>
      </c>
      <c r="C44" s="32">
        <v>0</v>
      </c>
      <c r="D44" s="30">
        <f t="shared" si="27"/>
        <v>0</v>
      </c>
      <c r="E44" s="12">
        <v>0</v>
      </c>
      <c r="F44" s="31">
        <f t="shared" ref="F44:F45" si="28">F43</f>
        <v>0.05</v>
      </c>
      <c r="G44" s="1">
        <f t="shared" si="23"/>
        <v>0.05</v>
      </c>
      <c r="H44" s="31">
        <f t="shared" si="21"/>
        <v>0.08</v>
      </c>
      <c r="I44" s="58"/>
      <c r="J44" s="1">
        <f t="shared" si="19"/>
        <v>0</v>
      </c>
      <c r="K44" s="25"/>
    </row>
    <row r="45" spans="1:11" x14ac:dyDescent="0.2">
      <c r="A45" s="61"/>
      <c r="B45" s="1" t="s">
        <v>21</v>
      </c>
      <c r="C45" s="32">
        <v>0</v>
      </c>
      <c r="D45" s="30">
        <f t="shared" si="27"/>
        <v>0</v>
      </c>
      <c r="E45" s="12">
        <v>0</v>
      </c>
      <c r="F45" s="31">
        <f t="shared" si="28"/>
        <v>0.05</v>
      </c>
      <c r="G45" s="1">
        <f t="shared" si="23"/>
        <v>0.05</v>
      </c>
      <c r="H45" s="31">
        <f t="shared" si="21"/>
        <v>0.08</v>
      </c>
      <c r="I45" s="58"/>
      <c r="J45" s="1">
        <f t="shared" si="19"/>
        <v>0</v>
      </c>
      <c r="K45" s="25"/>
    </row>
    <row r="46" spans="1:11" x14ac:dyDescent="0.2">
      <c r="A46" s="60" t="s">
        <v>32</v>
      </c>
      <c r="B46" s="29" t="s">
        <v>18</v>
      </c>
      <c r="C46" s="32">
        <v>0</v>
      </c>
      <c r="D46" s="30">
        <f>IF(J58=0,0,J46/J58)</f>
        <v>0</v>
      </c>
      <c r="E46" s="12">
        <v>0</v>
      </c>
      <c r="F46" s="13">
        <v>0.05</v>
      </c>
      <c r="G46" s="1">
        <f t="shared" si="23"/>
        <v>0.05</v>
      </c>
      <c r="H46" s="31">
        <f t="shared" si="21"/>
        <v>0.08</v>
      </c>
      <c r="I46" s="58"/>
      <c r="J46" s="1">
        <f t="shared" si="19"/>
        <v>0</v>
      </c>
      <c r="K46" s="25"/>
    </row>
    <row r="47" spans="1:11" x14ac:dyDescent="0.2">
      <c r="A47" s="60"/>
      <c r="B47" s="29" t="s">
        <v>19</v>
      </c>
      <c r="C47" s="32">
        <v>0</v>
      </c>
      <c r="D47" s="30">
        <f t="shared" ref="D47:D49" si="29">IF(J59=0,0,J47/J59)</f>
        <v>0</v>
      </c>
      <c r="E47" s="12">
        <v>0</v>
      </c>
      <c r="F47" s="31">
        <f>F46</f>
        <v>0.05</v>
      </c>
      <c r="G47" s="1">
        <f t="shared" si="23"/>
        <v>0.05</v>
      </c>
      <c r="H47" s="31">
        <f t="shared" si="21"/>
        <v>0.08</v>
      </c>
      <c r="I47" s="58"/>
      <c r="J47" s="1">
        <f t="shared" si="19"/>
        <v>0</v>
      </c>
      <c r="K47" s="25"/>
    </row>
    <row r="48" spans="1:11" x14ac:dyDescent="0.2">
      <c r="A48" s="60"/>
      <c r="B48" s="29" t="s">
        <v>20</v>
      </c>
      <c r="C48" s="32">
        <v>0</v>
      </c>
      <c r="D48" s="30">
        <f t="shared" si="29"/>
        <v>0</v>
      </c>
      <c r="E48" s="12">
        <v>0</v>
      </c>
      <c r="F48" s="31">
        <f t="shared" ref="F48:F49" si="30">F47</f>
        <v>0.05</v>
      </c>
      <c r="G48" s="1">
        <f t="shared" si="23"/>
        <v>0.05</v>
      </c>
      <c r="H48" s="31">
        <f t="shared" si="21"/>
        <v>0.08</v>
      </c>
      <c r="I48" s="58"/>
      <c r="J48" s="1">
        <f t="shared" si="19"/>
        <v>0</v>
      </c>
      <c r="K48" s="25"/>
    </row>
    <row r="49" spans="1:11" x14ac:dyDescent="0.2">
      <c r="A49" s="60"/>
      <c r="B49" s="29" t="s">
        <v>21</v>
      </c>
      <c r="C49" s="32">
        <v>0</v>
      </c>
      <c r="D49" s="30">
        <f t="shared" si="29"/>
        <v>0</v>
      </c>
      <c r="E49" s="12">
        <v>0</v>
      </c>
      <c r="F49" s="31">
        <f t="shared" si="30"/>
        <v>0.05</v>
      </c>
      <c r="G49" s="1">
        <f t="shared" si="23"/>
        <v>0.05</v>
      </c>
      <c r="H49" s="31">
        <f t="shared" si="21"/>
        <v>0.08</v>
      </c>
      <c r="I49" s="58"/>
      <c r="J49" s="1">
        <f t="shared" si="19"/>
        <v>0</v>
      </c>
      <c r="K49" s="25"/>
    </row>
    <row r="50" spans="1:11" x14ac:dyDescent="0.2">
      <c r="A50" s="61" t="s">
        <v>33</v>
      </c>
      <c r="B50" s="1" t="s">
        <v>18</v>
      </c>
      <c r="C50" s="32">
        <v>0</v>
      </c>
      <c r="D50" s="30">
        <f>IF(J58=0,0,J50/J58)</f>
        <v>0</v>
      </c>
      <c r="E50" s="12">
        <v>0</v>
      </c>
      <c r="F50" s="13">
        <v>0.05</v>
      </c>
      <c r="G50" s="1">
        <f t="shared" si="23"/>
        <v>0.05</v>
      </c>
      <c r="H50" s="31">
        <f t="shared" si="21"/>
        <v>0.08</v>
      </c>
      <c r="I50" s="58"/>
      <c r="J50" s="1">
        <f t="shared" si="19"/>
        <v>0</v>
      </c>
      <c r="K50" s="25"/>
    </row>
    <row r="51" spans="1:11" x14ac:dyDescent="0.2">
      <c r="A51" s="61"/>
      <c r="B51" s="1" t="s">
        <v>19</v>
      </c>
      <c r="C51" s="32">
        <v>0</v>
      </c>
      <c r="D51" s="30">
        <f t="shared" ref="D51:D53" si="31">IF(J59=0,0,J51/J59)</f>
        <v>0</v>
      </c>
      <c r="E51" s="12">
        <v>0</v>
      </c>
      <c r="F51" s="31">
        <f>F50</f>
        <v>0.05</v>
      </c>
      <c r="G51" s="1">
        <f t="shared" si="23"/>
        <v>0.05</v>
      </c>
      <c r="H51" s="31">
        <f t="shared" si="21"/>
        <v>0.08</v>
      </c>
      <c r="I51" s="58"/>
      <c r="J51" s="1">
        <f t="shared" si="19"/>
        <v>0</v>
      </c>
      <c r="K51" s="25"/>
    </row>
    <row r="52" spans="1:11" x14ac:dyDescent="0.2">
      <c r="A52" s="61"/>
      <c r="B52" s="1" t="s">
        <v>20</v>
      </c>
      <c r="C52" s="32">
        <v>0</v>
      </c>
      <c r="D52" s="30">
        <f t="shared" si="31"/>
        <v>0</v>
      </c>
      <c r="E52" s="12">
        <v>0</v>
      </c>
      <c r="F52" s="31">
        <f t="shared" ref="F52:F53" si="32">F51</f>
        <v>0.05</v>
      </c>
      <c r="G52" s="1">
        <f t="shared" si="23"/>
        <v>0.05</v>
      </c>
      <c r="H52" s="31">
        <f t="shared" si="21"/>
        <v>0.08</v>
      </c>
      <c r="I52" s="58"/>
      <c r="J52" s="1">
        <f t="shared" si="19"/>
        <v>0</v>
      </c>
      <c r="K52" s="25"/>
    </row>
    <row r="53" spans="1:11" x14ac:dyDescent="0.2">
      <c r="A53" s="61"/>
      <c r="B53" s="1" t="s">
        <v>21</v>
      </c>
      <c r="C53" s="32">
        <v>0</v>
      </c>
      <c r="D53" s="30">
        <f t="shared" si="31"/>
        <v>0</v>
      </c>
      <c r="E53" s="12">
        <v>0</v>
      </c>
      <c r="F53" s="31">
        <f t="shared" si="32"/>
        <v>0.05</v>
      </c>
      <c r="G53" s="1">
        <f t="shared" si="23"/>
        <v>0.05</v>
      </c>
      <c r="H53" s="31">
        <f t="shared" si="21"/>
        <v>0.08</v>
      </c>
      <c r="I53" s="58"/>
      <c r="J53" s="1">
        <f t="shared" si="19"/>
        <v>0</v>
      </c>
      <c r="K53" s="25"/>
    </row>
    <row r="54" spans="1:11" x14ac:dyDescent="0.2">
      <c r="A54" s="60" t="s">
        <v>34</v>
      </c>
      <c r="B54" s="29" t="s">
        <v>18</v>
      </c>
      <c r="C54" s="32">
        <v>0</v>
      </c>
      <c r="D54" s="30">
        <f>IF(J58=0,0,J54/J58)</f>
        <v>0</v>
      </c>
      <c r="E54" s="12">
        <v>0</v>
      </c>
      <c r="F54" s="13">
        <v>0.05</v>
      </c>
      <c r="G54" s="1">
        <f t="shared" si="23"/>
        <v>0.05</v>
      </c>
      <c r="H54" s="31">
        <f t="shared" si="21"/>
        <v>0.08</v>
      </c>
      <c r="I54" s="58"/>
      <c r="J54" s="1">
        <f t="shared" si="19"/>
        <v>0</v>
      </c>
      <c r="K54" s="25"/>
    </row>
    <row r="55" spans="1:11" x14ac:dyDescent="0.2">
      <c r="A55" s="60"/>
      <c r="B55" s="29" t="s">
        <v>19</v>
      </c>
      <c r="C55" s="32">
        <v>0</v>
      </c>
      <c r="D55" s="30">
        <f t="shared" ref="D55:D57" si="33">IF(J59=0,0,J55/J59)</f>
        <v>0</v>
      </c>
      <c r="E55" s="12">
        <v>0</v>
      </c>
      <c r="F55" s="31">
        <f>F54</f>
        <v>0.05</v>
      </c>
      <c r="G55" s="1">
        <f t="shared" si="23"/>
        <v>0.05</v>
      </c>
      <c r="H55" s="31">
        <f t="shared" si="21"/>
        <v>0.08</v>
      </c>
      <c r="I55" s="58"/>
      <c r="J55" s="1">
        <f t="shared" si="19"/>
        <v>0</v>
      </c>
      <c r="K55" s="25"/>
    </row>
    <row r="56" spans="1:11" x14ac:dyDescent="0.2">
      <c r="A56" s="60"/>
      <c r="B56" s="29" t="s">
        <v>20</v>
      </c>
      <c r="C56" s="32">
        <v>0</v>
      </c>
      <c r="D56" s="30">
        <f t="shared" si="33"/>
        <v>0</v>
      </c>
      <c r="E56" s="12">
        <v>0</v>
      </c>
      <c r="F56" s="31">
        <f t="shared" ref="F56:F57" si="34">F55</f>
        <v>0.05</v>
      </c>
      <c r="G56" s="1">
        <f t="shared" si="23"/>
        <v>0.05</v>
      </c>
      <c r="H56" s="31">
        <f t="shared" si="21"/>
        <v>0.08</v>
      </c>
      <c r="I56" s="58"/>
      <c r="J56" s="1">
        <f t="shared" si="19"/>
        <v>0</v>
      </c>
      <c r="K56" s="25"/>
    </row>
    <row r="57" spans="1:11" x14ac:dyDescent="0.2">
      <c r="A57" s="60"/>
      <c r="B57" s="29" t="s">
        <v>21</v>
      </c>
      <c r="C57" s="32">
        <v>0</v>
      </c>
      <c r="D57" s="30">
        <f t="shared" si="33"/>
        <v>0</v>
      </c>
      <c r="E57" s="12">
        <v>0</v>
      </c>
      <c r="F57" s="31">
        <f t="shared" si="34"/>
        <v>0.05</v>
      </c>
      <c r="G57" s="1">
        <f t="shared" si="23"/>
        <v>0.05</v>
      </c>
      <c r="H57" s="31">
        <f t="shared" si="21"/>
        <v>0.08</v>
      </c>
      <c r="I57" s="58"/>
      <c r="J57" s="1">
        <f t="shared" si="19"/>
        <v>0</v>
      </c>
      <c r="K57" s="25"/>
    </row>
    <row r="58" spans="1:11" x14ac:dyDescent="0.2">
      <c r="A58" s="61" t="s">
        <v>35</v>
      </c>
      <c r="B58" s="1" t="s">
        <v>18</v>
      </c>
      <c r="C58" s="25">
        <f>C30+C34+C38+C42+C46+C50+C54</f>
        <v>1300</v>
      </c>
      <c r="D58" s="25">
        <f t="shared" ref="D58" si="35">D30+D34+D38+D42+D46+D50+D54</f>
        <v>1</v>
      </c>
      <c r="E58" s="25">
        <f t="shared" ref="E58:I58" si="36">E30+E34+E38+E42+E46+E50+E54</f>
        <v>0</v>
      </c>
      <c r="F58" s="25">
        <f t="shared" si="36"/>
        <v>0.80000000000000016</v>
      </c>
      <c r="G58" s="25">
        <f t="shared" si="36"/>
        <v>0.35</v>
      </c>
      <c r="H58" s="25">
        <f t="shared" si="36"/>
        <v>0.56000000000000005</v>
      </c>
      <c r="I58" s="25">
        <f t="shared" si="36"/>
        <v>4</v>
      </c>
      <c r="J58" s="25">
        <f>J30+J34+J38+J42+J46+J50+J54</f>
        <v>104</v>
      </c>
      <c r="K58" s="25"/>
    </row>
    <row r="59" spans="1:11" x14ac:dyDescent="0.2">
      <c r="A59" s="61"/>
      <c r="B59" s="1" t="s">
        <v>19</v>
      </c>
      <c r="C59" s="25">
        <f t="shared" ref="C59:J61" si="37">C31+C35+C39+C43+C47+C51+C55</f>
        <v>1340</v>
      </c>
      <c r="D59" s="25">
        <f t="shared" si="37"/>
        <v>1</v>
      </c>
      <c r="E59" s="25">
        <f t="shared" ref="E59:I59" si="38">E31+E35+E39+E43+E47+E51+E55</f>
        <v>0</v>
      </c>
      <c r="F59" s="25">
        <f t="shared" si="38"/>
        <v>0.80000000000000016</v>
      </c>
      <c r="G59" s="25">
        <f t="shared" si="38"/>
        <v>0.35</v>
      </c>
      <c r="H59" s="25">
        <f t="shared" si="38"/>
        <v>0.56000000000000005</v>
      </c>
      <c r="I59" s="25">
        <f t="shared" si="38"/>
        <v>0</v>
      </c>
      <c r="J59" s="25">
        <f t="shared" si="37"/>
        <v>108</v>
      </c>
      <c r="K59" s="25"/>
    </row>
    <row r="60" spans="1:11" x14ac:dyDescent="0.2">
      <c r="A60" s="61"/>
      <c r="B60" s="1" t="s">
        <v>20</v>
      </c>
      <c r="C60" s="25">
        <f t="shared" si="37"/>
        <v>980</v>
      </c>
      <c r="D60" s="25">
        <f t="shared" si="37"/>
        <v>1</v>
      </c>
      <c r="E60" s="25">
        <f t="shared" ref="E60:I60" si="39">E32+E36+E40+E44+E48+E52+E56</f>
        <v>0</v>
      </c>
      <c r="F60" s="25">
        <f t="shared" si="39"/>
        <v>0.80000000000000016</v>
      </c>
      <c r="G60" s="25">
        <f t="shared" si="39"/>
        <v>0.35</v>
      </c>
      <c r="H60" s="25">
        <f t="shared" si="39"/>
        <v>0.56000000000000005</v>
      </c>
      <c r="I60" s="25">
        <f t="shared" si="39"/>
        <v>0</v>
      </c>
      <c r="J60" s="25">
        <f t="shared" si="37"/>
        <v>79</v>
      </c>
      <c r="K60" s="25"/>
    </row>
    <row r="61" spans="1:11" x14ac:dyDescent="0.2">
      <c r="A61" s="61"/>
      <c r="B61" s="1" t="s">
        <v>21</v>
      </c>
      <c r="C61" s="25">
        <f t="shared" si="37"/>
        <v>0</v>
      </c>
      <c r="D61" s="25">
        <f t="shared" si="37"/>
        <v>0</v>
      </c>
      <c r="E61" s="25">
        <f t="shared" ref="E61:I61" si="40">E33+E37+E41+E45+E49+E53+E57</f>
        <v>0</v>
      </c>
      <c r="F61" s="25">
        <f t="shared" si="40"/>
        <v>0.80000000000000016</v>
      </c>
      <c r="G61" s="25">
        <f t="shared" si="40"/>
        <v>0.35</v>
      </c>
      <c r="H61" s="25">
        <f t="shared" si="40"/>
        <v>0.56000000000000005</v>
      </c>
      <c r="I61" s="25">
        <f t="shared" si="40"/>
        <v>0</v>
      </c>
      <c r="J61" s="25">
        <f t="shared" si="37"/>
        <v>0</v>
      </c>
      <c r="K61" s="25"/>
    </row>
    <row r="62" spans="1:11" x14ac:dyDescent="0.2">
      <c r="A62" s="61"/>
      <c r="B62" s="1" t="s">
        <v>36</v>
      </c>
      <c r="C62" s="25">
        <f>SUM(C58:C61)</f>
        <v>3620</v>
      </c>
      <c r="D62" s="25">
        <f t="shared" ref="D62" si="41">SUM(D58:D61)</f>
        <v>3</v>
      </c>
      <c r="E62" s="31"/>
      <c r="F62" s="31"/>
      <c r="G62" s="31"/>
      <c r="H62" s="31"/>
      <c r="I62" s="31"/>
      <c r="J62" s="25">
        <f>SUM(J58:J61)</f>
        <v>291</v>
      </c>
      <c r="K62" s="25"/>
    </row>
    <row r="63" spans="1:11" x14ac:dyDescent="0.2">
      <c r="A63" s="25"/>
      <c r="B63" s="25"/>
      <c r="C63" s="25"/>
      <c r="D63" s="25"/>
      <c r="E63" s="25"/>
    </row>
    <row r="64" spans="1:11" x14ac:dyDescent="0.2">
      <c r="A64" s="25"/>
      <c r="B64" s="25"/>
      <c r="C64" s="25"/>
      <c r="D64" s="25"/>
      <c r="E64" s="25"/>
    </row>
    <row r="65" spans="1:10" x14ac:dyDescent="0.2">
      <c r="A65" s="25"/>
      <c r="B65" s="25"/>
      <c r="C65" s="25"/>
      <c r="D65" s="25"/>
      <c r="E65" s="25"/>
    </row>
    <row r="66" spans="1:10" x14ac:dyDescent="0.2">
      <c r="A66" s="64" t="s">
        <v>25</v>
      </c>
      <c r="B66" s="65"/>
      <c r="C66" s="25" t="str">
        <f>C2</f>
        <v>青年</v>
      </c>
      <c r="D66" s="25" t="str">
        <f t="shared" ref="D66:J66" si="42">D2</f>
        <v>白领</v>
      </c>
      <c r="E66" s="25" t="str">
        <f t="shared" si="42"/>
        <v>白领</v>
      </c>
      <c r="F66" s="25" t="str">
        <f t="shared" si="42"/>
        <v>商务</v>
      </c>
      <c r="G66" s="25" t="str">
        <f t="shared" si="42"/>
        <v>商务</v>
      </c>
      <c r="H66" s="25" t="str">
        <f t="shared" si="42"/>
        <v>青年</v>
      </c>
      <c r="I66" s="25" t="str">
        <f t="shared" si="42"/>
        <v>老年</v>
      </c>
      <c r="J66" s="25" t="str">
        <f t="shared" si="42"/>
        <v>老年</v>
      </c>
    </row>
    <row r="67" spans="1:10" x14ac:dyDescent="0.2">
      <c r="A67" s="64" t="s">
        <v>26</v>
      </c>
      <c r="B67" s="65"/>
      <c r="C67" s="25" t="str">
        <f>C3</f>
        <v>青年1</v>
      </c>
      <c r="D67" s="25" t="str">
        <f t="shared" ref="D67:J67" si="43">D3</f>
        <v>白领1</v>
      </c>
      <c r="E67" s="25" t="str">
        <f t="shared" si="43"/>
        <v>白领2</v>
      </c>
      <c r="F67" s="25" t="str">
        <f t="shared" si="43"/>
        <v>商务1</v>
      </c>
      <c r="G67" s="25" t="str">
        <f t="shared" si="43"/>
        <v>商务2</v>
      </c>
      <c r="H67" s="25" t="str">
        <f t="shared" si="43"/>
        <v>青年2</v>
      </c>
      <c r="I67" s="25" t="str">
        <f t="shared" si="43"/>
        <v>老年1</v>
      </c>
      <c r="J67" s="25" t="str">
        <f t="shared" si="43"/>
        <v>老年2</v>
      </c>
    </row>
    <row r="68" spans="1:10" x14ac:dyDescent="0.2">
      <c r="A68" s="66" t="s">
        <v>38</v>
      </c>
      <c r="B68" s="66"/>
      <c r="C68" s="25" t="e">
        <f>IF(C66="商务",ROUNDUP($J$58/#REF!,0),IF(C66="白领",ROUNDUP($J$59/#REF!,0),IF(C66="青年",ROUNDUP($J$60/#REF!,0),IF(C66="老年",ROUNDUP($J$61/#REF!,0)))))</f>
        <v>#REF!</v>
      </c>
      <c r="D68" s="25" t="e">
        <f>IF(D66="商务",ROUNDUP($J$58/#REF!,0),IF(D66="白领",ROUNDUP($J$59/#REF!,0),IF(D66="青年",ROUNDUP($J$60/#REF!,0),IF(D66="老年",ROUNDUP($J$61/#REF!,0)))))</f>
        <v>#REF!</v>
      </c>
      <c r="E68" s="25" t="e">
        <f>IF(E66="商务",ROUNDUP($J$58/#REF!,0),IF(E66="白领",ROUNDUP($J$59/#REF!,0),IF(E66="青年",ROUNDUP($J$60/#REF!,0),IF(E66="老年",ROUNDUP($J$61/#REF!,0)))))</f>
        <v>#REF!</v>
      </c>
      <c r="F68" s="25" t="e">
        <f>IF(F66="商务",ROUNDUP($J$58/#REF!,0),IF(F66="白领",ROUNDUP($J$59/#REF!,0),IF(F66="青年",ROUNDUP($J$60/#REF!,0),IF(F66="老年",ROUNDUP($J$61/#REF!,0)))))</f>
        <v>#REF!</v>
      </c>
      <c r="G68" s="25" t="e">
        <f>IF(G66="商务",ROUNDUP($J$58/#REF!,0),IF(G66="白领",ROUNDUP($J$59/#REF!,0),IF(G66="青年",ROUNDUP($J$60/#REF!,0),IF(G66="老年",ROUNDUP($J$61/#REF!,0)))))</f>
        <v>#REF!</v>
      </c>
      <c r="H68" s="25" t="e">
        <f>IF(H66="商务",ROUNDUP($J$58/#REF!,0),IF(H66="白领",ROUNDUP($J$59/#REF!,0),IF(H66="青年",ROUNDUP($J$60/#REF!,0),IF(H66="老年",ROUNDUP($J$61/#REF!,0)))))</f>
        <v>#REF!</v>
      </c>
      <c r="I68" s="25" t="e">
        <f>IF(I66="商务",ROUNDUP($J$58/#REF!,0),IF(I66="白领",ROUNDUP($J$59/#REF!,0),IF(I66="青年",ROUNDUP($J$60/#REF!,0),IF(I66="老年",ROUNDUP($J$61/#REF!,0)))))</f>
        <v>#REF!</v>
      </c>
      <c r="J68" s="25" t="e">
        <f>IF(J66="商务",ROUNDUP($J$58/#REF!,0),IF(J66="白领",ROUNDUP($J$59/#REF!,0),IF(J66="青年",ROUNDUP($J$60/#REF!,0),IF(J66="老年",ROUNDUP($J$61/#REF!,0)))))</f>
        <v>#REF!</v>
      </c>
    </row>
    <row r="69" spans="1:10" x14ac:dyDescent="0.2">
      <c r="A69" s="67" t="s">
        <v>44</v>
      </c>
      <c r="B69" s="67"/>
      <c r="C69" s="25" t="e">
        <f>C68-C25</f>
        <v>#REF!</v>
      </c>
      <c r="D69" s="25" t="e">
        <f t="shared" ref="D69:J69" si="44">D68-D25</f>
        <v>#REF!</v>
      </c>
      <c r="E69" s="25" t="e">
        <f t="shared" si="44"/>
        <v>#REF!</v>
      </c>
      <c r="F69" s="25" t="e">
        <f t="shared" si="44"/>
        <v>#REF!</v>
      </c>
      <c r="G69" s="25" t="e">
        <f t="shared" si="44"/>
        <v>#REF!</v>
      </c>
      <c r="H69" s="25" t="e">
        <f t="shared" si="44"/>
        <v>#REF!</v>
      </c>
      <c r="I69" s="25" t="e">
        <f t="shared" si="44"/>
        <v>#REF!</v>
      </c>
      <c r="J69" s="25" t="e">
        <f t="shared" si="44"/>
        <v>#REF!</v>
      </c>
    </row>
    <row r="70" spans="1:10" x14ac:dyDescent="0.2">
      <c r="A70" s="25"/>
      <c r="B70" s="25"/>
      <c r="C70" s="25"/>
      <c r="D70" s="25"/>
      <c r="E70" s="25"/>
    </row>
    <row r="71" spans="1:10" x14ac:dyDescent="0.2">
      <c r="A71" s="25"/>
      <c r="B71" s="25"/>
      <c r="C71" s="25"/>
      <c r="D71" s="25"/>
      <c r="E71" s="25"/>
    </row>
    <row r="72" spans="1:10" x14ac:dyDescent="0.2">
      <c r="A72" s="25"/>
      <c r="B72" s="25"/>
      <c r="C72" s="25"/>
      <c r="D72" s="25"/>
      <c r="E72" s="25"/>
    </row>
    <row r="73" spans="1:10" x14ac:dyDescent="0.2">
      <c r="A73" s="25"/>
      <c r="B73" s="25"/>
      <c r="C73" s="25"/>
      <c r="D73" s="25"/>
      <c r="E73" s="25"/>
    </row>
    <row r="74" spans="1:10" x14ac:dyDescent="0.2">
      <c r="A74" s="25"/>
      <c r="B74" s="25"/>
      <c r="C74" s="25"/>
      <c r="D74" s="25"/>
      <c r="E74" s="25"/>
    </row>
    <row r="75" spans="1:10" x14ac:dyDescent="0.2">
      <c r="A75" s="25"/>
      <c r="B75" s="25"/>
      <c r="C75" s="25"/>
      <c r="D75" s="25"/>
      <c r="E75" s="25"/>
    </row>
    <row r="76" spans="1:10" x14ac:dyDescent="0.2">
      <c r="A76" s="25"/>
      <c r="B76" s="25"/>
      <c r="C76" s="25"/>
      <c r="D76" s="25"/>
      <c r="E76" s="25"/>
    </row>
    <row r="77" spans="1:10" x14ac:dyDescent="0.2">
      <c r="A77" s="25"/>
      <c r="B77" s="25"/>
      <c r="C77" s="25"/>
      <c r="D77" s="25"/>
      <c r="E77" s="25"/>
    </row>
    <row r="78" spans="1:10" x14ac:dyDescent="0.2">
      <c r="A78" s="25"/>
      <c r="B78" s="25"/>
      <c r="C78" s="25"/>
      <c r="D78" s="25"/>
      <c r="E78" s="25"/>
    </row>
    <row r="79" spans="1:10" x14ac:dyDescent="0.2">
      <c r="A79" s="25"/>
      <c r="B79" s="25"/>
      <c r="C79" s="25"/>
      <c r="D79" s="25"/>
      <c r="E79" s="25"/>
    </row>
    <row r="80" spans="1:10" x14ac:dyDescent="0.2">
      <c r="A80" s="25"/>
      <c r="B80" s="25"/>
      <c r="C80" s="25"/>
      <c r="D80" s="25"/>
      <c r="E80" s="25"/>
    </row>
    <row r="81" spans="1:5" x14ac:dyDescent="0.2">
      <c r="A81" s="25"/>
      <c r="B81" s="25"/>
      <c r="C81" s="25"/>
      <c r="D81" s="25"/>
      <c r="E81" s="25"/>
    </row>
  </sheetData>
  <sheetProtection algorithmName="SHA-512" hashValue="OhLHV7tFY6zhNoQdOgaj1kHh6btWO2KVynrcbNbP9Ch5jYq0c2pOew/nbcu3PEymQRJGR2b8Xlo83hZE2z+7zA==" saltValue="BR93EyUPCZ8ikgjRi3q5vg==" spinCount="100000" sheet="1" objects="1" scenarios="1"/>
  <mergeCells count="26">
    <mergeCell ref="A67:B67"/>
    <mergeCell ref="A68:B68"/>
    <mergeCell ref="A69:B69"/>
    <mergeCell ref="A2:B2"/>
    <mergeCell ref="A3:B3"/>
    <mergeCell ref="A25:B25"/>
    <mergeCell ref="A50:A53"/>
    <mergeCell ref="A54:A57"/>
    <mergeCell ref="A58:A62"/>
    <mergeCell ref="A66:B66"/>
    <mergeCell ref="K1:K2"/>
    <mergeCell ref="I30:I57"/>
    <mergeCell ref="A22:B22"/>
    <mergeCell ref="A23:B23"/>
    <mergeCell ref="A26:B26"/>
    <mergeCell ref="A30:A33"/>
    <mergeCell ref="A34:A37"/>
    <mergeCell ref="A4:A6"/>
    <mergeCell ref="A7:A9"/>
    <mergeCell ref="A10:A13"/>
    <mergeCell ref="A14:A17"/>
    <mergeCell ref="A18:B18"/>
    <mergeCell ref="A38:A41"/>
    <mergeCell ref="A42:A45"/>
    <mergeCell ref="A46:A49"/>
    <mergeCell ref="A24:B24"/>
  </mergeCells>
  <phoneticPr fontId="1" type="noConversion"/>
  <dataValidations count="4">
    <dataValidation type="list" allowBlank="1" showInputMessage="1" showErrorMessage="1" sqref="C14:J17" xr:uid="{11FDB610-6328-4A25-9775-C2C2256F97A3}">
      <formula1>"0,1"</formula1>
    </dataValidation>
    <dataValidation type="list" allowBlank="1" showInputMessage="1" showErrorMessage="1" sqref="C4:J13" xr:uid="{ED436B58-9802-4EB6-B744-665C95B3E0D8}">
      <formula1>"1,0"</formula1>
    </dataValidation>
    <dataValidation type="list" allowBlank="1" showInputMessage="1" showErrorMessage="1" sqref="C2:J2" xr:uid="{5895982C-5F70-4E6C-8BA1-05C3F8347678}">
      <formula1>"商务,白领,青年,老年"</formula1>
    </dataValidation>
    <dataValidation type="list" allowBlank="1" showInputMessage="1" showErrorMessage="1" sqref="C3" xr:uid="{30800465-08F4-4CF3-9BF2-8DD8F9D23DC2}">
      <formula1>"商务1,商务2,商务3,白领1,白领2,白领3,青年1,青年2,青年3,老年1,老年2,老年3"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41D9E-4E0B-4154-B73E-2455E3B9987A}">
  <sheetPr codeName="Sheet3"/>
  <dimension ref="A3:H69"/>
  <sheetViews>
    <sheetView workbookViewId="0">
      <selection activeCell="A3" sqref="A3"/>
    </sheetView>
  </sheetViews>
  <sheetFormatPr defaultRowHeight="14.25" x14ac:dyDescent="0.2"/>
  <sheetData>
    <row r="3" spans="1:8" x14ac:dyDescent="0.2">
      <c r="A3" t="s">
        <v>15</v>
      </c>
      <c r="B3" t="s">
        <v>16</v>
      </c>
      <c r="D3" t="s">
        <v>45</v>
      </c>
    </row>
    <row r="4" spans="1:8" x14ac:dyDescent="0.2">
      <c r="A4" s="68" t="s">
        <v>17</v>
      </c>
      <c r="B4" t="s">
        <v>18</v>
      </c>
      <c r="C4" t="s">
        <v>54</v>
      </c>
      <c r="D4">
        <v>135</v>
      </c>
    </row>
    <row r="5" spans="1:8" x14ac:dyDescent="0.2">
      <c r="A5" s="68"/>
      <c r="B5" t="s">
        <v>18</v>
      </c>
      <c r="C5" t="s">
        <v>55</v>
      </c>
      <c r="D5">
        <v>0</v>
      </c>
    </row>
    <row r="6" spans="1:8" x14ac:dyDescent="0.2">
      <c r="A6" s="68"/>
      <c r="B6" t="s">
        <v>19</v>
      </c>
      <c r="C6" t="s">
        <v>52</v>
      </c>
      <c r="D6">
        <v>135</v>
      </c>
      <c r="H6" s="68"/>
    </row>
    <row r="7" spans="1:8" x14ac:dyDescent="0.2">
      <c r="A7" s="68"/>
      <c r="B7" t="s">
        <v>19</v>
      </c>
      <c r="C7" t="s">
        <v>53</v>
      </c>
      <c r="D7">
        <v>135</v>
      </c>
      <c r="H7" s="68"/>
    </row>
    <row r="8" spans="1:8" x14ac:dyDescent="0.2">
      <c r="A8" s="68"/>
      <c r="B8" t="s">
        <v>20</v>
      </c>
      <c r="C8" t="s">
        <v>56</v>
      </c>
      <c r="D8">
        <v>135</v>
      </c>
      <c r="H8" s="68"/>
    </row>
    <row r="9" spans="1:8" x14ac:dyDescent="0.2">
      <c r="A9" s="68"/>
      <c r="B9" t="s">
        <v>20</v>
      </c>
      <c r="C9" t="s">
        <v>59</v>
      </c>
      <c r="D9">
        <v>0</v>
      </c>
      <c r="H9" s="68"/>
    </row>
    <row r="10" spans="1:8" x14ac:dyDescent="0.2">
      <c r="A10" s="68"/>
      <c r="B10" t="s">
        <v>21</v>
      </c>
      <c r="C10" t="s">
        <v>57</v>
      </c>
      <c r="D10">
        <v>0</v>
      </c>
      <c r="H10" s="68"/>
    </row>
    <row r="11" spans="1:8" x14ac:dyDescent="0.2">
      <c r="A11" s="68"/>
      <c r="B11" t="s">
        <v>21</v>
      </c>
      <c r="C11" t="s">
        <v>58</v>
      </c>
      <c r="D11">
        <v>0</v>
      </c>
      <c r="H11" s="68"/>
    </row>
    <row r="12" spans="1:8" x14ac:dyDescent="0.2">
      <c r="A12" s="68" t="s">
        <v>46</v>
      </c>
      <c r="B12" t="s">
        <v>18</v>
      </c>
      <c r="C12" t="s">
        <v>54</v>
      </c>
      <c r="D12">
        <v>0</v>
      </c>
      <c r="H12" s="68"/>
    </row>
    <row r="13" spans="1:8" x14ac:dyDescent="0.2">
      <c r="A13" s="68"/>
      <c r="B13" t="s">
        <v>18</v>
      </c>
      <c r="C13" t="s">
        <v>55</v>
      </c>
      <c r="D13">
        <v>0</v>
      </c>
      <c r="H13" s="68"/>
    </row>
    <row r="14" spans="1:8" x14ac:dyDescent="0.2">
      <c r="A14" s="68"/>
      <c r="B14" t="s">
        <v>19</v>
      </c>
      <c r="C14" t="s">
        <v>52</v>
      </c>
      <c r="D14">
        <v>0</v>
      </c>
      <c r="H14" s="68"/>
    </row>
    <row r="15" spans="1:8" x14ac:dyDescent="0.2">
      <c r="A15" s="68"/>
      <c r="B15" t="s">
        <v>19</v>
      </c>
      <c r="C15" t="s">
        <v>53</v>
      </c>
      <c r="D15">
        <v>0</v>
      </c>
      <c r="H15" s="68"/>
    </row>
    <row r="16" spans="1:8" x14ac:dyDescent="0.2">
      <c r="A16" s="68"/>
      <c r="B16" t="s">
        <v>20</v>
      </c>
      <c r="C16" t="s">
        <v>56</v>
      </c>
      <c r="D16">
        <v>0</v>
      </c>
      <c r="H16" s="68"/>
    </row>
    <row r="17" spans="1:8" x14ac:dyDescent="0.2">
      <c r="A17" s="68"/>
      <c r="B17" t="s">
        <v>20</v>
      </c>
      <c r="C17" t="s">
        <v>59</v>
      </c>
      <c r="D17">
        <v>0</v>
      </c>
      <c r="H17" s="68"/>
    </row>
    <row r="18" spans="1:8" x14ac:dyDescent="0.2">
      <c r="A18" s="68"/>
      <c r="B18" t="s">
        <v>21</v>
      </c>
      <c r="C18" t="s">
        <v>57</v>
      </c>
      <c r="D18">
        <v>0</v>
      </c>
      <c r="H18" s="68"/>
    </row>
    <row r="19" spans="1:8" x14ac:dyDescent="0.2">
      <c r="A19" s="68"/>
      <c r="B19" t="s">
        <v>21</v>
      </c>
      <c r="C19" t="s">
        <v>58</v>
      </c>
      <c r="D19">
        <v>0</v>
      </c>
      <c r="H19" s="68"/>
    </row>
    <row r="20" spans="1:8" x14ac:dyDescent="0.2">
      <c r="A20" s="68" t="s">
        <v>47</v>
      </c>
      <c r="B20" t="s">
        <v>18</v>
      </c>
      <c r="C20" t="s">
        <v>54</v>
      </c>
      <c r="D20">
        <v>0</v>
      </c>
      <c r="H20" s="68"/>
    </row>
    <row r="21" spans="1:8" x14ac:dyDescent="0.2">
      <c r="A21" s="68"/>
      <c r="B21" t="s">
        <v>18</v>
      </c>
      <c r="C21" t="s">
        <v>55</v>
      </c>
      <c r="D21">
        <v>0</v>
      </c>
      <c r="H21" s="68"/>
    </row>
    <row r="22" spans="1:8" x14ac:dyDescent="0.2">
      <c r="A22" s="68"/>
      <c r="B22" t="s">
        <v>19</v>
      </c>
      <c r="C22" t="s">
        <v>52</v>
      </c>
      <c r="D22">
        <v>0</v>
      </c>
      <c r="H22" s="68"/>
    </row>
    <row r="23" spans="1:8" x14ac:dyDescent="0.2">
      <c r="A23" s="68"/>
      <c r="B23" t="s">
        <v>19</v>
      </c>
      <c r="C23" t="s">
        <v>53</v>
      </c>
      <c r="D23">
        <v>0</v>
      </c>
      <c r="H23" s="68"/>
    </row>
    <row r="24" spans="1:8" x14ac:dyDescent="0.2">
      <c r="A24" s="68"/>
      <c r="B24" t="s">
        <v>20</v>
      </c>
      <c r="C24" t="s">
        <v>56</v>
      </c>
      <c r="D24">
        <v>0</v>
      </c>
      <c r="H24" s="68"/>
    </row>
    <row r="25" spans="1:8" x14ac:dyDescent="0.2">
      <c r="A25" s="68"/>
      <c r="B25" t="s">
        <v>20</v>
      </c>
      <c r="C25" t="s">
        <v>59</v>
      </c>
      <c r="D25">
        <v>0</v>
      </c>
      <c r="H25" s="68"/>
    </row>
    <row r="26" spans="1:8" x14ac:dyDescent="0.2">
      <c r="A26" s="68"/>
      <c r="B26" t="s">
        <v>21</v>
      </c>
      <c r="C26" t="s">
        <v>57</v>
      </c>
      <c r="D26">
        <v>0</v>
      </c>
      <c r="H26" s="68"/>
    </row>
    <row r="27" spans="1:8" x14ac:dyDescent="0.2">
      <c r="A27" s="68"/>
      <c r="B27" t="s">
        <v>21</v>
      </c>
      <c r="C27" t="s">
        <v>58</v>
      </c>
      <c r="D27">
        <v>0</v>
      </c>
      <c r="H27" s="68"/>
    </row>
    <row r="28" spans="1:8" x14ac:dyDescent="0.2">
      <c r="A28" s="68" t="s">
        <v>48</v>
      </c>
      <c r="B28" t="s">
        <v>18</v>
      </c>
      <c r="C28" t="s">
        <v>54</v>
      </c>
      <c r="D28">
        <v>0</v>
      </c>
      <c r="H28" s="68"/>
    </row>
    <row r="29" spans="1:8" x14ac:dyDescent="0.2">
      <c r="A29" s="68"/>
      <c r="B29" t="s">
        <v>18</v>
      </c>
      <c r="C29" t="s">
        <v>55</v>
      </c>
      <c r="D29">
        <v>0</v>
      </c>
      <c r="H29" s="68"/>
    </row>
    <row r="30" spans="1:8" x14ac:dyDescent="0.2">
      <c r="A30" s="68"/>
      <c r="B30" t="s">
        <v>19</v>
      </c>
      <c r="C30" t="s">
        <v>52</v>
      </c>
      <c r="D30">
        <v>0</v>
      </c>
      <c r="H30" s="68"/>
    </row>
    <row r="31" spans="1:8" x14ac:dyDescent="0.2">
      <c r="A31" s="68"/>
      <c r="B31" t="s">
        <v>19</v>
      </c>
      <c r="C31" t="s">
        <v>53</v>
      </c>
      <c r="D31">
        <v>0</v>
      </c>
      <c r="H31" s="68"/>
    </row>
    <row r="32" spans="1:8" x14ac:dyDescent="0.2">
      <c r="A32" s="68"/>
      <c r="B32" t="s">
        <v>20</v>
      </c>
      <c r="C32" t="s">
        <v>56</v>
      </c>
      <c r="D32">
        <v>0</v>
      </c>
      <c r="H32" s="68"/>
    </row>
    <row r="33" spans="1:8" x14ac:dyDescent="0.2">
      <c r="A33" s="68"/>
      <c r="B33" t="s">
        <v>20</v>
      </c>
      <c r="C33" t="s">
        <v>59</v>
      </c>
      <c r="D33">
        <v>0</v>
      </c>
      <c r="H33" s="68"/>
    </row>
    <row r="34" spans="1:8" x14ac:dyDescent="0.2">
      <c r="A34" s="68"/>
      <c r="B34" t="s">
        <v>21</v>
      </c>
      <c r="C34" t="s">
        <v>57</v>
      </c>
      <c r="D34">
        <v>0</v>
      </c>
      <c r="H34" s="68"/>
    </row>
    <row r="35" spans="1:8" x14ac:dyDescent="0.2">
      <c r="A35" s="68"/>
      <c r="B35" t="s">
        <v>21</v>
      </c>
      <c r="C35" t="s">
        <v>58</v>
      </c>
      <c r="D35">
        <v>0</v>
      </c>
      <c r="H35" s="68"/>
    </row>
    <row r="36" spans="1:8" x14ac:dyDescent="0.2">
      <c r="A36" s="68" t="s">
        <v>49</v>
      </c>
      <c r="B36" t="s">
        <v>18</v>
      </c>
      <c r="C36" t="s">
        <v>54</v>
      </c>
      <c r="D36">
        <v>0</v>
      </c>
      <c r="H36" s="68"/>
    </row>
    <row r="37" spans="1:8" x14ac:dyDescent="0.2">
      <c r="A37" s="68"/>
      <c r="B37" t="s">
        <v>18</v>
      </c>
      <c r="C37" t="s">
        <v>55</v>
      </c>
      <c r="D37">
        <v>0</v>
      </c>
      <c r="H37" s="68"/>
    </row>
    <row r="38" spans="1:8" x14ac:dyDescent="0.2">
      <c r="A38" s="68"/>
      <c r="B38" t="s">
        <v>19</v>
      </c>
      <c r="C38" t="s">
        <v>52</v>
      </c>
      <c r="D38">
        <v>0</v>
      </c>
      <c r="H38" s="68"/>
    </row>
    <row r="39" spans="1:8" x14ac:dyDescent="0.2">
      <c r="A39" s="68"/>
      <c r="B39" t="s">
        <v>19</v>
      </c>
      <c r="C39" t="s">
        <v>53</v>
      </c>
      <c r="D39">
        <v>0</v>
      </c>
      <c r="H39" s="68"/>
    </row>
    <row r="40" spans="1:8" x14ac:dyDescent="0.2">
      <c r="A40" s="68"/>
      <c r="B40" t="s">
        <v>20</v>
      </c>
      <c r="C40" t="s">
        <v>56</v>
      </c>
      <c r="D40">
        <v>0</v>
      </c>
      <c r="H40" s="68"/>
    </row>
    <row r="41" spans="1:8" x14ac:dyDescent="0.2">
      <c r="A41" s="68"/>
      <c r="B41" t="s">
        <v>20</v>
      </c>
      <c r="C41" t="s">
        <v>59</v>
      </c>
      <c r="D41">
        <v>0</v>
      </c>
      <c r="H41" s="68"/>
    </row>
    <row r="42" spans="1:8" x14ac:dyDescent="0.2">
      <c r="A42" s="68"/>
      <c r="B42" t="s">
        <v>21</v>
      </c>
      <c r="C42" t="s">
        <v>57</v>
      </c>
      <c r="D42">
        <v>0</v>
      </c>
      <c r="H42" s="68"/>
    </row>
    <row r="43" spans="1:8" x14ac:dyDescent="0.2">
      <c r="A43" s="68"/>
      <c r="B43" t="s">
        <v>21</v>
      </c>
      <c r="C43" t="s">
        <v>58</v>
      </c>
      <c r="D43">
        <v>0</v>
      </c>
      <c r="H43" s="68"/>
    </row>
    <row r="44" spans="1:8" x14ac:dyDescent="0.2">
      <c r="A44" s="68" t="s">
        <v>50</v>
      </c>
      <c r="B44" t="s">
        <v>18</v>
      </c>
      <c r="C44" t="s">
        <v>54</v>
      </c>
      <c r="D44">
        <v>0</v>
      </c>
      <c r="H44" s="68"/>
    </row>
    <row r="45" spans="1:8" x14ac:dyDescent="0.2">
      <c r="A45" s="68"/>
      <c r="B45" t="s">
        <v>18</v>
      </c>
      <c r="C45" t="s">
        <v>55</v>
      </c>
      <c r="D45">
        <v>0</v>
      </c>
      <c r="H45" s="68"/>
    </row>
    <row r="46" spans="1:8" x14ac:dyDescent="0.2">
      <c r="A46" s="68"/>
      <c r="B46" t="s">
        <v>19</v>
      </c>
      <c r="C46" t="s">
        <v>52</v>
      </c>
      <c r="D46">
        <v>0</v>
      </c>
      <c r="H46" s="68"/>
    </row>
    <row r="47" spans="1:8" x14ac:dyDescent="0.2">
      <c r="A47" s="68"/>
      <c r="B47" t="s">
        <v>19</v>
      </c>
      <c r="C47" t="s">
        <v>53</v>
      </c>
      <c r="D47">
        <v>0</v>
      </c>
      <c r="H47" s="68"/>
    </row>
    <row r="48" spans="1:8" x14ac:dyDescent="0.2">
      <c r="A48" s="68"/>
      <c r="B48" t="s">
        <v>20</v>
      </c>
      <c r="C48" t="s">
        <v>56</v>
      </c>
      <c r="D48">
        <v>0</v>
      </c>
      <c r="H48" s="68"/>
    </row>
    <row r="49" spans="1:8" x14ac:dyDescent="0.2">
      <c r="A49" s="68"/>
      <c r="B49" t="s">
        <v>20</v>
      </c>
      <c r="C49" t="s">
        <v>59</v>
      </c>
      <c r="D49">
        <v>0</v>
      </c>
      <c r="H49" s="68"/>
    </row>
    <row r="50" spans="1:8" x14ac:dyDescent="0.2">
      <c r="A50" s="68"/>
      <c r="B50" t="s">
        <v>21</v>
      </c>
      <c r="C50" t="s">
        <v>57</v>
      </c>
      <c r="D50">
        <v>0</v>
      </c>
      <c r="H50" s="68"/>
    </row>
    <row r="51" spans="1:8" x14ac:dyDescent="0.2">
      <c r="A51" s="68"/>
      <c r="B51" t="s">
        <v>21</v>
      </c>
      <c r="C51" t="s">
        <v>58</v>
      </c>
      <c r="D51">
        <v>0</v>
      </c>
      <c r="H51" s="68"/>
    </row>
    <row r="52" spans="1:8" x14ac:dyDescent="0.2">
      <c r="A52" s="68" t="s">
        <v>51</v>
      </c>
      <c r="B52" t="s">
        <v>18</v>
      </c>
      <c r="C52" t="s">
        <v>54</v>
      </c>
      <c r="D52">
        <v>0</v>
      </c>
      <c r="H52" s="68"/>
    </row>
    <row r="53" spans="1:8" x14ac:dyDescent="0.2">
      <c r="A53" s="68"/>
      <c r="B53" t="s">
        <v>18</v>
      </c>
      <c r="C53" t="s">
        <v>55</v>
      </c>
      <c r="D53">
        <v>0</v>
      </c>
      <c r="H53" s="68"/>
    </row>
    <row r="54" spans="1:8" x14ac:dyDescent="0.2">
      <c r="A54" s="68"/>
      <c r="B54" t="s">
        <v>19</v>
      </c>
      <c r="C54" t="s">
        <v>52</v>
      </c>
      <c r="D54">
        <v>0</v>
      </c>
      <c r="H54" s="68"/>
    </row>
    <row r="55" spans="1:8" x14ac:dyDescent="0.2">
      <c r="A55" s="68"/>
      <c r="B55" t="s">
        <v>19</v>
      </c>
      <c r="C55" t="s">
        <v>53</v>
      </c>
      <c r="D55">
        <v>0</v>
      </c>
      <c r="H55" s="68"/>
    </row>
    <row r="56" spans="1:8" x14ac:dyDescent="0.2">
      <c r="A56" s="68"/>
      <c r="B56" t="s">
        <v>20</v>
      </c>
      <c r="C56" t="s">
        <v>56</v>
      </c>
      <c r="D56">
        <v>0</v>
      </c>
      <c r="H56" s="68"/>
    </row>
    <row r="57" spans="1:8" x14ac:dyDescent="0.2">
      <c r="A57" s="68"/>
      <c r="B57" t="s">
        <v>20</v>
      </c>
      <c r="C57" t="s">
        <v>59</v>
      </c>
      <c r="D57">
        <v>0</v>
      </c>
      <c r="H57" s="68"/>
    </row>
    <row r="58" spans="1:8" x14ac:dyDescent="0.2">
      <c r="A58" s="68"/>
      <c r="B58" t="s">
        <v>21</v>
      </c>
      <c r="C58" t="s">
        <v>57</v>
      </c>
      <c r="D58">
        <v>0</v>
      </c>
      <c r="H58" s="68"/>
    </row>
    <row r="59" spans="1:8" x14ac:dyDescent="0.2">
      <c r="A59" s="68"/>
      <c r="B59" t="s">
        <v>21</v>
      </c>
      <c r="C59" t="s">
        <v>58</v>
      </c>
      <c r="D59">
        <v>0</v>
      </c>
      <c r="H59" s="68"/>
    </row>
    <row r="60" spans="1:8" x14ac:dyDescent="0.2">
      <c r="B60" t="s">
        <v>119</v>
      </c>
      <c r="H60" s="68"/>
    </row>
    <row r="61" spans="1:8" x14ac:dyDescent="0.2">
      <c r="A61" t="s">
        <v>120</v>
      </c>
      <c r="B61" t="s">
        <v>121</v>
      </c>
      <c r="C61" t="s">
        <v>122</v>
      </c>
      <c r="D61" t="s">
        <v>123</v>
      </c>
      <c r="E61" t="s">
        <v>124</v>
      </c>
      <c r="H61" s="68"/>
    </row>
    <row r="62" spans="1:8" x14ac:dyDescent="0.2">
      <c r="A62" t="s">
        <v>20</v>
      </c>
      <c r="B62" t="s">
        <v>56</v>
      </c>
      <c r="C62">
        <v>135</v>
      </c>
      <c r="D62">
        <v>135</v>
      </c>
      <c r="E62">
        <v>0</v>
      </c>
    </row>
    <row r="63" spans="1:8" x14ac:dyDescent="0.2">
      <c r="A63" t="s">
        <v>20</v>
      </c>
      <c r="B63" t="s">
        <v>59</v>
      </c>
      <c r="C63">
        <v>135</v>
      </c>
      <c r="D63">
        <v>135</v>
      </c>
      <c r="E63">
        <v>0</v>
      </c>
    </row>
    <row r="64" spans="1:8" x14ac:dyDescent="0.2">
      <c r="A64" t="s">
        <v>19</v>
      </c>
      <c r="B64" t="s">
        <v>52</v>
      </c>
      <c r="C64">
        <v>135</v>
      </c>
      <c r="D64">
        <v>135</v>
      </c>
      <c r="E64">
        <v>0</v>
      </c>
    </row>
    <row r="65" spans="1:5" x14ac:dyDescent="0.2">
      <c r="A65" t="s">
        <v>19</v>
      </c>
      <c r="B65" t="s">
        <v>53</v>
      </c>
      <c r="C65">
        <v>135</v>
      </c>
      <c r="D65">
        <v>135</v>
      </c>
      <c r="E65">
        <v>0</v>
      </c>
    </row>
    <row r="66" spans="1:5" x14ac:dyDescent="0.2">
      <c r="A66" t="s">
        <v>18</v>
      </c>
      <c r="B66" t="s">
        <v>54</v>
      </c>
      <c r="C66">
        <v>0</v>
      </c>
      <c r="D66">
        <v>0</v>
      </c>
      <c r="E66">
        <v>0</v>
      </c>
    </row>
    <row r="67" spans="1:5" x14ac:dyDescent="0.2">
      <c r="A67" t="s">
        <v>18</v>
      </c>
      <c r="B67" t="s">
        <v>55</v>
      </c>
      <c r="C67">
        <v>0</v>
      </c>
      <c r="D67">
        <v>0</v>
      </c>
      <c r="E67">
        <v>0</v>
      </c>
    </row>
    <row r="68" spans="1:5" x14ac:dyDescent="0.2">
      <c r="A68" t="s">
        <v>21</v>
      </c>
      <c r="B68" t="s">
        <v>57</v>
      </c>
      <c r="C68">
        <v>0</v>
      </c>
      <c r="D68">
        <v>0</v>
      </c>
      <c r="E68">
        <v>0</v>
      </c>
    </row>
    <row r="69" spans="1:5" x14ac:dyDescent="0.2">
      <c r="A69" t="s">
        <v>21</v>
      </c>
      <c r="B69" t="s">
        <v>58</v>
      </c>
      <c r="C69">
        <v>0</v>
      </c>
      <c r="D69">
        <v>0</v>
      </c>
      <c r="E69">
        <v>0</v>
      </c>
    </row>
  </sheetData>
  <sortState xmlns:xlrd2="http://schemas.microsoft.com/office/spreadsheetml/2017/richdata2" ref="B52:D59">
    <sortCondition ref="B52:B59" customList="商务,白领,青年,老年"/>
  </sortState>
  <mergeCells count="14">
    <mergeCell ref="H46:H53"/>
    <mergeCell ref="H54:H61"/>
    <mergeCell ref="H6:H13"/>
    <mergeCell ref="H14:H21"/>
    <mergeCell ref="H22:H29"/>
    <mergeCell ref="H30:H37"/>
    <mergeCell ref="H38:H45"/>
    <mergeCell ref="A44:A51"/>
    <mergeCell ref="A52:A59"/>
    <mergeCell ref="A4:A11"/>
    <mergeCell ref="A12:A19"/>
    <mergeCell ref="A20:A27"/>
    <mergeCell ref="A28:A35"/>
    <mergeCell ref="A36:A4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计算报价">
                <anchor moveWithCells="1" sizeWithCells="1">
                  <from>
                    <xdr:col>0</xdr:col>
                    <xdr:colOff>152400</xdr:colOff>
                    <xdr:row>0</xdr:row>
                    <xdr:rowOff>85725</xdr:rowOff>
                  </from>
                  <to>
                    <xdr:col>1</xdr:col>
                    <xdr:colOff>409575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清空重置">
                <anchor moveWithCells="1" sizeWithCells="1">
                  <from>
                    <xdr:col>1</xdr:col>
                    <xdr:colOff>676275</xdr:colOff>
                    <xdr:row>0</xdr:row>
                    <xdr:rowOff>47625</xdr:rowOff>
                  </from>
                  <to>
                    <xdr:col>3</xdr:col>
                    <xdr:colOff>171450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导入数据">
                <anchor moveWithCells="1" sizeWithCells="1">
                  <from>
                    <xdr:col>4</xdr:col>
                    <xdr:colOff>495300</xdr:colOff>
                    <xdr:row>1</xdr:row>
                    <xdr:rowOff>38100</xdr:rowOff>
                  </from>
                  <to>
                    <xdr:col>6</xdr:col>
                    <xdr:colOff>581025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>
                <anchor moveWithCells="1" sizeWithCells="1">
                  <from>
                    <xdr:col>4</xdr:col>
                    <xdr:colOff>533400</xdr:colOff>
                    <xdr:row>4</xdr:row>
                    <xdr:rowOff>95250</xdr:rowOff>
                  </from>
                  <to>
                    <xdr:col>6</xdr:col>
                    <xdr:colOff>542925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清空重置">
                <anchor moveWithCells="1" sizeWithCells="1">
                  <from>
                    <xdr:col>4</xdr:col>
                    <xdr:colOff>581025</xdr:colOff>
                    <xdr:row>9</xdr:row>
                    <xdr:rowOff>133350</xdr:rowOff>
                  </from>
                  <to>
                    <xdr:col>8</xdr:col>
                    <xdr:colOff>171450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3D898-FEBA-43B1-A2F4-89E17816B161}">
  <sheetPr codeName="Sheet2"/>
  <dimension ref="A1:H67"/>
  <sheetViews>
    <sheetView tabSelected="1" workbookViewId="0">
      <selection activeCell="D4" sqref="D4"/>
    </sheetView>
  </sheetViews>
  <sheetFormatPr defaultRowHeight="14.25" x14ac:dyDescent="0.2"/>
  <cols>
    <col min="4" max="4" width="9.875" customWidth="1"/>
  </cols>
  <sheetData>
    <row r="1" spans="1:8" x14ac:dyDescent="0.2">
      <c r="A1" s="17" t="s">
        <v>15</v>
      </c>
      <c r="B1" s="70" t="s">
        <v>16</v>
      </c>
      <c r="C1" s="70"/>
      <c r="D1" s="17" t="s">
        <v>45</v>
      </c>
    </row>
    <row r="2" spans="1:8" x14ac:dyDescent="0.2">
      <c r="A2" s="69" t="s">
        <v>17</v>
      </c>
      <c r="B2" s="19" t="e">
        <f t="shared" ref="B2:B33" si="0">MID(C2,1,2)</f>
        <v>#REF!</v>
      </c>
      <c r="C2" s="18" t="e">
        <f t="shared" ref="C2:C9" si="1">G2</f>
        <v>#REF!</v>
      </c>
      <c r="D2" s="18" t="e">
        <f>INT($H$2*(IF(B2="商务",原材料购买!$D$30,IF(B2="白领",原材料购买!$D$31,IF(B2="青年",原材料购买!$D$32,IF(B2="老年",原材料购买!$D$33))))))</f>
        <v>#REF!</v>
      </c>
      <c r="F2" t="e">
        <f t="array" ref="F2:H9">TRANSPOSE(原材料购买!#REF!)</f>
        <v>#REF!</v>
      </c>
      <c r="G2" t="e">
        <v>#REF!</v>
      </c>
      <c r="H2" t="e">
        <v>#REF!</v>
      </c>
    </row>
    <row r="3" spans="1:8" x14ac:dyDescent="0.2">
      <c r="A3" s="69"/>
      <c r="B3" s="19" t="e">
        <f t="shared" si="0"/>
        <v>#REF!</v>
      </c>
      <c r="C3" s="18" t="e">
        <f t="shared" si="1"/>
        <v>#REF!</v>
      </c>
      <c r="D3" s="18" t="e">
        <f>INT($H$3*(IF(B3="商务",原材料购买!$D$30,IF(B3="白领",原材料购买!$D$31,IF(B3="青年",原材料购买!$D$32,IF(B3="老年",原材料购买!$D$33))))))</f>
        <v>#REF!</v>
      </c>
      <c r="F3" t="e">
        <v>#REF!</v>
      </c>
      <c r="G3" t="e">
        <v>#REF!</v>
      </c>
      <c r="H3" t="e">
        <v>#REF!</v>
      </c>
    </row>
    <row r="4" spans="1:8" x14ac:dyDescent="0.2">
      <c r="A4" s="69"/>
      <c r="B4" s="19" t="e">
        <f t="shared" si="0"/>
        <v>#REF!</v>
      </c>
      <c r="C4" s="18" t="e">
        <f t="shared" si="1"/>
        <v>#REF!</v>
      </c>
      <c r="D4" s="18" t="e">
        <f>INT($H$4*(IF(B4="商务",原材料购买!$D$30,IF(B4="白领",原材料购买!$D$31,IF(B4="青年",原材料购买!$D$32,IF(B4="老年",原材料购买!$D$33))))))</f>
        <v>#REF!</v>
      </c>
      <c r="F4" t="e">
        <v>#REF!</v>
      </c>
      <c r="G4" t="e">
        <v>#REF!</v>
      </c>
      <c r="H4" t="e">
        <v>#REF!</v>
      </c>
    </row>
    <row r="5" spans="1:8" x14ac:dyDescent="0.2">
      <c r="A5" s="69"/>
      <c r="B5" s="19" t="e">
        <f t="shared" si="0"/>
        <v>#REF!</v>
      </c>
      <c r="C5" s="18" t="e">
        <f t="shared" si="1"/>
        <v>#REF!</v>
      </c>
      <c r="D5" s="18" t="e">
        <f>INT($H$5*(IF(B5="商务",原材料购买!$D$30,IF(B5="白领",原材料购买!$D$31,IF(B5="青年",原材料购买!$D$32,IF(B5="老年",原材料购买!$D$33))))))</f>
        <v>#REF!</v>
      </c>
      <c r="F5" t="e">
        <v>#REF!</v>
      </c>
      <c r="G5" t="e">
        <v>#REF!</v>
      </c>
      <c r="H5" t="e">
        <v>#REF!</v>
      </c>
    </row>
    <row r="6" spans="1:8" x14ac:dyDescent="0.2">
      <c r="A6" s="69"/>
      <c r="B6" s="19" t="e">
        <f t="shared" si="0"/>
        <v>#REF!</v>
      </c>
      <c r="C6" s="18" t="e">
        <f t="shared" si="1"/>
        <v>#REF!</v>
      </c>
      <c r="D6" s="18" t="e">
        <f>INT($H$6*(IF(B6="商务",原材料购买!$D$30,IF(B6="白领",原材料购买!$D$31,IF(B6="青年",原材料购买!$D$32,IF(B6="老年",原材料购买!$D$33))))))</f>
        <v>#REF!</v>
      </c>
      <c r="F6" t="e">
        <v>#REF!</v>
      </c>
      <c r="G6" t="e">
        <v>#REF!</v>
      </c>
      <c r="H6" t="e">
        <v>#REF!</v>
      </c>
    </row>
    <row r="7" spans="1:8" x14ac:dyDescent="0.2">
      <c r="A7" s="69"/>
      <c r="B7" s="19" t="e">
        <f t="shared" si="0"/>
        <v>#REF!</v>
      </c>
      <c r="C7" s="18" t="e">
        <f t="shared" si="1"/>
        <v>#REF!</v>
      </c>
      <c r="D7" s="18" t="e">
        <f>INT($H$7*(IF(B7="商务",原材料购买!$D$30,IF(B7="白领",原材料购买!$D$31,IF(B7="青年",原材料购买!$D$32,IF(B7="老年",原材料购买!$D$33))))))</f>
        <v>#REF!</v>
      </c>
      <c r="F7" t="e">
        <v>#REF!</v>
      </c>
      <c r="G7" t="e">
        <v>#REF!</v>
      </c>
      <c r="H7" t="e">
        <v>#REF!</v>
      </c>
    </row>
    <row r="8" spans="1:8" x14ac:dyDescent="0.2">
      <c r="A8" s="69"/>
      <c r="B8" s="19" t="e">
        <f t="shared" si="0"/>
        <v>#REF!</v>
      </c>
      <c r="C8" s="18" t="e">
        <f t="shared" si="1"/>
        <v>#REF!</v>
      </c>
      <c r="D8" s="18" t="e">
        <f>INT($H$8*(IF(B8="商务",原材料购买!$D$30,IF(B8="白领",原材料购买!$D$31,IF(B8="青年",原材料购买!$D$32,IF(B8="老年",原材料购买!$D$33))))))</f>
        <v>#REF!</v>
      </c>
      <c r="F8" t="e">
        <v>#REF!</v>
      </c>
      <c r="G8" t="e">
        <v>#REF!</v>
      </c>
      <c r="H8" t="e">
        <v>#REF!</v>
      </c>
    </row>
    <row r="9" spans="1:8" x14ac:dyDescent="0.2">
      <c r="A9" s="69"/>
      <c r="B9" s="19" t="e">
        <f t="shared" si="0"/>
        <v>#REF!</v>
      </c>
      <c r="C9" s="18" t="e">
        <f t="shared" si="1"/>
        <v>#REF!</v>
      </c>
      <c r="D9" s="18" t="e">
        <f>INT($H$9*(IF(B9="商务",原材料购买!$D$30,IF(B9="白领",原材料购买!$D$31,IF(B9="青年",原材料购买!$D$32,IF(B9="老年",原材料购买!$D$33))))))</f>
        <v>#REF!</v>
      </c>
      <c r="F9" t="e">
        <v>#REF!</v>
      </c>
      <c r="G9" t="e">
        <v>#REF!</v>
      </c>
      <c r="H9" t="e">
        <v>#REF!</v>
      </c>
    </row>
    <row r="10" spans="1:8" x14ac:dyDescent="0.2">
      <c r="A10" s="68" t="s">
        <v>46</v>
      </c>
      <c r="B10" s="19" t="e">
        <f t="shared" si="0"/>
        <v>#REF!</v>
      </c>
      <c r="C10" s="18" t="e">
        <f t="shared" ref="C10:C17" si="2">G2</f>
        <v>#REF!</v>
      </c>
      <c r="D10" s="18" t="e">
        <f>INT(H2*(IF(B10="商务",原材料购买!$D$34,IF(B10="白领",原材料购买!$D$35,IF(B10="青年",原材料购买!$D$36,IF(B10="老年",原材料购买!$D$37))))))</f>
        <v>#REF!</v>
      </c>
    </row>
    <row r="11" spans="1:8" x14ac:dyDescent="0.2">
      <c r="A11" s="68"/>
      <c r="B11" s="19" t="e">
        <f t="shared" si="0"/>
        <v>#REF!</v>
      </c>
      <c r="C11" s="18" t="e">
        <f t="shared" si="2"/>
        <v>#REF!</v>
      </c>
      <c r="D11" s="18" t="e">
        <f>INT(H3*(IF(B11="商务",原材料购买!$D$34,IF(B11="白领",原材料购买!$D$35,IF(B11="青年",原材料购买!$D$36,IF(B11="老年",原材料购买!$D$37))))))</f>
        <v>#REF!</v>
      </c>
    </row>
    <row r="12" spans="1:8" x14ac:dyDescent="0.2">
      <c r="A12" s="68"/>
      <c r="B12" s="19" t="e">
        <f t="shared" si="0"/>
        <v>#REF!</v>
      </c>
      <c r="C12" s="18" t="e">
        <f t="shared" si="2"/>
        <v>#REF!</v>
      </c>
      <c r="D12" s="18" t="e">
        <f>INT(H4*(IF(B12="商务",原材料购买!$D$34,IF(B12="白领",原材料购买!$D$35,IF(B12="青年",原材料购买!$D$36,IF(B12="老年",原材料购买!$D$37))))))</f>
        <v>#REF!</v>
      </c>
    </row>
    <row r="13" spans="1:8" x14ac:dyDescent="0.2">
      <c r="A13" s="68"/>
      <c r="B13" s="19" t="e">
        <f t="shared" si="0"/>
        <v>#REF!</v>
      </c>
      <c r="C13" s="18" t="e">
        <f t="shared" si="2"/>
        <v>#REF!</v>
      </c>
      <c r="D13" s="18" t="e">
        <f>INT(H5*(IF(B13="商务",原材料购买!$D$34,IF(B13="白领",原材料购买!$D$35,IF(B13="青年",原材料购买!$D$36,IF(B13="老年",原材料购买!$D$37))))))</f>
        <v>#REF!</v>
      </c>
    </row>
    <row r="14" spans="1:8" x14ac:dyDescent="0.2">
      <c r="A14" s="68"/>
      <c r="B14" s="19" t="e">
        <f t="shared" si="0"/>
        <v>#REF!</v>
      </c>
      <c r="C14" s="18" t="e">
        <f t="shared" si="2"/>
        <v>#REF!</v>
      </c>
      <c r="D14" s="18" t="e">
        <f>INT(H6*(IF(B14="商务",原材料购买!$D$34,IF(B14="白领",原材料购买!$D$35,IF(B14="青年",原材料购买!$D$36,IF(B14="老年",原材料购买!$D$37))))))</f>
        <v>#REF!</v>
      </c>
    </row>
    <row r="15" spans="1:8" x14ac:dyDescent="0.2">
      <c r="A15" s="68"/>
      <c r="B15" s="19" t="e">
        <f t="shared" si="0"/>
        <v>#REF!</v>
      </c>
      <c r="C15" s="18" t="e">
        <f t="shared" si="2"/>
        <v>#REF!</v>
      </c>
      <c r="D15" s="18" t="e">
        <f>INT(H7*(IF(B15="商务",原材料购买!$D$34,IF(B15="白领",原材料购买!$D$35,IF(B15="青年",原材料购买!$D$36,IF(B15="老年",原材料购买!$D$37))))))</f>
        <v>#REF!</v>
      </c>
    </row>
    <row r="16" spans="1:8" x14ac:dyDescent="0.2">
      <c r="A16" s="68"/>
      <c r="B16" s="19" t="e">
        <f t="shared" si="0"/>
        <v>#REF!</v>
      </c>
      <c r="C16" s="18" t="e">
        <f t="shared" si="2"/>
        <v>#REF!</v>
      </c>
      <c r="D16" s="18" t="e">
        <f>INT(H8*(IF(B16="商务",原材料购买!$D$34,IF(B16="白领",原材料购买!$D$35,IF(B16="青年",原材料购买!$D$36,IF(B16="老年",原材料购买!$D$37))))))</f>
        <v>#REF!</v>
      </c>
    </row>
    <row r="17" spans="1:4" x14ac:dyDescent="0.2">
      <c r="A17" s="68"/>
      <c r="B17" s="19" t="e">
        <f t="shared" si="0"/>
        <v>#REF!</v>
      </c>
      <c r="C17" s="18" t="e">
        <f t="shared" si="2"/>
        <v>#REF!</v>
      </c>
      <c r="D17" s="18" t="e">
        <f>INT(H9*(IF(B17="商务",原材料购买!$D$34,IF(B17="白领",原材料购买!$D$35,IF(B17="青年",原材料购买!$D$36,IF(B17="老年",原材料购买!$D$37))))))</f>
        <v>#REF!</v>
      </c>
    </row>
    <row r="18" spans="1:4" x14ac:dyDescent="0.2">
      <c r="A18" s="69" t="s">
        <v>47</v>
      </c>
      <c r="B18" s="19" t="e">
        <f t="shared" si="0"/>
        <v>#REF!</v>
      </c>
      <c r="C18" s="18" t="e">
        <f t="shared" ref="C18:C25" si="3">G2</f>
        <v>#REF!</v>
      </c>
      <c r="D18" s="18" t="e">
        <f>INT(H2*(IF(B18="商务",原材料购买!$D$38,IF(B18="白领",原材料购买!$D$39,IF(B18="青年",原材料购买!$D$40,IF(B18="老年",原材料购买!$D$41))))))</f>
        <v>#REF!</v>
      </c>
    </row>
    <row r="19" spans="1:4" x14ac:dyDescent="0.2">
      <c r="A19" s="69"/>
      <c r="B19" s="19" t="e">
        <f t="shared" si="0"/>
        <v>#REF!</v>
      </c>
      <c r="C19" s="18" t="e">
        <f t="shared" si="3"/>
        <v>#REF!</v>
      </c>
      <c r="D19" s="18" t="e">
        <f>INT(H3*(IF(B19="商务",原材料购买!$D$38,IF(B19="白领",原材料购买!$D$39,IF(B19="青年",原材料购买!$D$40,IF(B19="老年",原材料购买!$D$41))))))</f>
        <v>#REF!</v>
      </c>
    </row>
    <row r="20" spans="1:4" x14ac:dyDescent="0.2">
      <c r="A20" s="69"/>
      <c r="B20" s="19" t="e">
        <f t="shared" si="0"/>
        <v>#REF!</v>
      </c>
      <c r="C20" s="18" t="e">
        <f t="shared" si="3"/>
        <v>#REF!</v>
      </c>
      <c r="D20" s="18" t="e">
        <f>INT(H4*(IF(B20="商务",原材料购买!$D$38,IF(B20="白领",原材料购买!$D$39,IF(B20="青年",原材料购买!$D$40,IF(B20="老年",原材料购买!$D$41))))))</f>
        <v>#REF!</v>
      </c>
    </row>
    <row r="21" spans="1:4" x14ac:dyDescent="0.2">
      <c r="A21" s="69"/>
      <c r="B21" s="19" t="e">
        <f t="shared" si="0"/>
        <v>#REF!</v>
      </c>
      <c r="C21" s="18" t="e">
        <f t="shared" si="3"/>
        <v>#REF!</v>
      </c>
      <c r="D21" s="18" t="e">
        <f>INT(H5*(IF(B21="商务",原材料购买!$D$38,IF(B21="白领",原材料购买!$D$39,IF(B21="青年",原材料购买!$D$40,IF(B21="老年",原材料购买!$D$41))))))</f>
        <v>#REF!</v>
      </c>
    </row>
    <row r="22" spans="1:4" x14ac:dyDescent="0.2">
      <c r="A22" s="69"/>
      <c r="B22" s="19" t="e">
        <f t="shared" si="0"/>
        <v>#REF!</v>
      </c>
      <c r="C22" s="18" t="e">
        <f t="shared" si="3"/>
        <v>#REF!</v>
      </c>
      <c r="D22" s="18" t="e">
        <f>INT(H6*(IF(B22="商务",原材料购买!$D$38,IF(B22="白领",原材料购买!$D$39,IF(B22="青年",原材料购买!$D$40,IF(B22="老年",原材料购买!$D$41))))))</f>
        <v>#REF!</v>
      </c>
    </row>
    <row r="23" spans="1:4" x14ac:dyDescent="0.2">
      <c r="A23" s="69"/>
      <c r="B23" s="19" t="e">
        <f t="shared" si="0"/>
        <v>#REF!</v>
      </c>
      <c r="C23" s="18" t="e">
        <f t="shared" si="3"/>
        <v>#REF!</v>
      </c>
      <c r="D23" s="18" t="e">
        <f>INT(H7*(IF(B23="商务",原材料购买!$D$38,IF(B23="白领",原材料购买!$D$39,IF(B23="青年",原材料购买!$D$40,IF(B23="老年",原材料购买!$D$41))))))</f>
        <v>#REF!</v>
      </c>
    </row>
    <row r="24" spans="1:4" x14ac:dyDescent="0.2">
      <c r="A24" s="69"/>
      <c r="B24" s="19" t="e">
        <f t="shared" si="0"/>
        <v>#REF!</v>
      </c>
      <c r="C24" s="18" t="e">
        <f t="shared" si="3"/>
        <v>#REF!</v>
      </c>
      <c r="D24" s="18" t="e">
        <f>INT(H8*(IF(B24="商务",原材料购买!$D$38,IF(B24="白领",原材料购买!$D$39,IF(B24="青年",原材料购买!$D$40,IF(B24="老年",原材料购买!$D$41))))))</f>
        <v>#REF!</v>
      </c>
    </row>
    <row r="25" spans="1:4" x14ac:dyDescent="0.2">
      <c r="A25" s="69"/>
      <c r="B25" s="19" t="e">
        <f t="shared" si="0"/>
        <v>#REF!</v>
      </c>
      <c r="C25" s="18" t="e">
        <f t="shared" si="3"/>
        <v>#REF!</v>
      </c>
      <c r="D25" s="18" t="e">
        <f>INT(H9*(IF(B25="商务",原材料购买!$D$38,IF(B25="白领",原材料购买!$D$39,IF(B25="青年",原材料购买!$D$40,IF(B25="老年",原材料购买!$D$41))))))</f>
        <v>#REF!</v>
      </c>
    </row>
    <row r="26" spans="1:4" x14ac:dyDescent="0.2">
      <c r="A26" s="68" t="s">
        <v>48</v>
      </c>
      <c r="B26" s="19" t="e">
        <f t="shared" si="0"/>
        <v>#REF!</v>
      </c>
      <c r="C26" s="18" t="e">
        <f t="shared" ref="C26:C33" si="4">G2</f>
        <v>#REF!</v>
      </c>
      <c r="D26" s="18" t="e">
        <f>INT(H2*(IF(B26="商务",原材料购买!$D$42,IF(B26="白领",原材料购买!$D$43,IF(B26="青年",原材料购买!$D$44,IF(B26="老年",原材料购买!$D$45))))))</f>
        <v>#REF!</v>
      </c>
    </row>
    <row r="27" spans="1:4" x14ac:dyDescent="0.2">
      <c r="A27" s="68"/>
      <c r="B27" s="19" t="e">
        <f t="shared" si="0"/>
        <v>#REF!</v>
      </c>
      <c r="C27" s="18" t="e">
        <f t="shared" si="4"/>
        <v>#REF!</v>
      </c>
      <c r="D27" s="18" t="e">
        <f>INT(H3*(IF(B27="商务",原材料购买!$D$42,IF(B27="白领",原材料购买!$D$43,IF(B27="青年",原材料购买!$D$44,IF(B27="老年",原材料购买!$D$45))))))</f>
        <v>#REF!</v>
      </c>
    </row>
    <row r="28" spans="1:4" x14ac:dyDescent="0.2">
      <c r="A28" s="68"/>
      <c r="B28" s="19" t="e">
        <f t="shared" si="0"/>
        <v>#REF!</v>
      </c>
      <c r="C28" s="18" t="e">
        <f t="shared" si="4"/>
        <v>#REF!</v>
      </c>
      <c r="D28" s="18" t="e">
        <f>INT(H4*(IF(B28="商务",原材料购买!$D$42,IF(B28="白领",原材料购买!$D$43,IF(B28="青年",原材料购买!$D$44,IF(B28="老年",原材料购买!$D$45))))))</f>
        <v>#REF!</v>
      </c>
    </row>
    <row r="29" spans="1:4" x14ac:dyDescent="0.2">
      <c r="A29" s="68"/>
      <c r="B29" s="19" t="e">
        <f t="shared" si="0"/>
        <v>#REF!</v>
      </c>
      <c r="C29" s="18" t="e">
        <f t="shared" si="4"/>
        <v>#REF!</v>
      </c>
      <c r="D29" s="18" t="e">
        <f>INT(H5*(IF(B29="商务",原材料购买!$D$42,IF(B29="白领",原材料购买!$D$43,IF(B29="青年",原材料购买!$D$44,IF(B29="老年",原材料购买!$D$45))))))</f>
        <v>#REF!</v>
      </c>
    </row>
    <row r="30" spans="1:4" x14ac:dyDescent="0.2">
      <c r="A30" s="68"/>
      <c r="B30" s="19" t="e">
        <f t="shared" si="0"/>
        <v>#REF!</v>
      </c>
      <c r="C30" s="18" t="e">
        <f t="shared" si="4"/>
        <v>#REF!</v>
      </c>
      <c r="D30" s="18" t="e">
        <f>INT(H6*(IF(B30="商务",原材料购买!$D$42,IF(B30="白领",原材料购买!$D$43,IF(B30="青年",原材料购买!$D$44,IF(B30="老年",原材料购买!$D$45))))))</f>
        <v>#REF!</v>
      </c>
    </row>
    <row r="31" spans="1:4" x14ac:dyDescent="0.2">
      <c r="A31" s="68"/>
      <c r="B31" s="19" t="e">
        <f t="shared" si="0"/>
        <v>#REF!</v>
      </c>
      <c r="C31" s="18" t="e">
        <f t="shared" si="4"/>
        <v>#REF!</v>
      </c>
      <c r="D31" s="18" t="e">
        <f>INT(H7*(IF(B31="商务",原材料购买!$D$42,IF(B31="白领",原材料购买!$D$43,IF(B31="青年",原材料购买!$D$44,IF(B31="老年",原材料购买!$D$45))))))</f>
        <v>#REF!</v>
      </c>
    </row>
    <row r="32" spans="1:4" x14ac:dyDescent="0.2">
      <c r="A32" s="68"/>
      <c r="B32" s="19" t="e">
        <f t="shared" si="0"/>
        <v>#REF!</v>
      </c>
      <c r="C32" s="18" t="e">
        <f t="shared" si="4"/>
        <v>#REF!</v>
      </c>
      <c r="D32" s="18" t="e">
        <f>INT(H8*(IF(B32="商务",原材料购买!$D$42,IF(B32="白领",原材料购买!$D$43,IF(B32="青年",原材料购买!$D$44,IF(B32="老年",原材料购买!$D$45))))))</f>
        <v>#REF!</v>
      </c>
    </row>
    <row r="33" spans="1:4" x14ac:dyDescent="0.2">
      <c r="A33" s="68"/>
      <c r="B33" s="19" t="e">
        <f t="shared" si="0"/>
        <v>#REF!</v>
      </c>
      <c r="C33" s="18" t="e">
        <f t="shared" si="4"/>
        <v>#REF!</v>
      </c>
      <c r="D33" s="18" t="e">
        <f>INT(H9*(IF(B33="商务",原材料购买!$D$42,IF(B33="白领",原材料购买!$D$43,IF(B33="青年",原材料购买!$D$44,IF(B33="老年",原材料购买!$D$45))))))</f>
        <v>#REF!</v>
      </c>
    </row>
    <row r="34" spans="1:4" x14ac:dyDescent="0.2">
      <c r="A34" s="69" t="s">
        <v>49</v>
      </c>
      <c r="B34" s="19" t="e">
        <f t="shared" ref="B34:B57" si="5">MID(C34,1,2)</f>
        <v>#REF!</v>
      </c>
      <c r="C34" s="18" t="e">
        <f t="shared" ref="C34:C41" si="6">G2</f>
        <v>#REF!</v>
      </c>
      <c r="D34" s="18" t="e">
        <f>INT(H2*(IF(B34="商务",原材料购买!$D$46,IF(B34="白领",原材料购买!$D$47,IF(B34="青年",原材料购买!$D$48,IF(B34="老年",原材料购买!$D$49))))))</f>
        <v>#REF!</v>
      </c>
    </row>
    <row r="35" spans="1:4" x14ac:dyDescent="0.2">
      <c r="A35" s="69"/>
      <c r="B35" s="19" t="e">
        <f t="shared" si="5"/>
        <v>#REF!</v>
      </c>
      <c r="C35" s="18" t="e">
        <f t="shared" si="6"/>
        <v>#REF!</v>
      </c>
      <c r="D35" s="18" t="e">
        <f>INT(H3*(IF(B35="商务",原材料购买!$D$46,IF(B35="白领",原材料购买!$D$47,IF(B35="青年",原材料购买!$D$48,IF(B35="老年",原材料购买!$D$49))))))</f>
        <v>#REF!</v>
      </c>
    </row>
    <row r="36" spans="1:4" x14ac:dyDescent="0.2">
      <c r="A36" s="69"/>
      <c r="B36" s="19" t="e">
        <f t="shared" si="5"/>
        <v>#REF!</v>
      </c>
      <c r="C36" s="18" t="e">
        <f t="shared" si="6"/>
        <v>#REF!</v>
      </c>
      <c r="D36" s="18" t="e">
        <f>INT(H4*(IF(B36="商务",原材料购买!$D$46,IF(B36="白领",原材料购买!$D$47,IF(B36="青年",原材料购买!$D$48,IF(B36="老年",原材料购买!$D$49))))))</f>
        <v>#REF!</v>
      </c>
    </row>
    <row r="37" spans="1:4" x14ac:dyDescent="0.2">
      <c r="A37" s="69"/>
      <c r="B37" s="19" t="e">
        <f t="shared" si="5"/>
        <v>#REF!</v>
      </c>
      <c r="C37" s="18" t="e">
        <f t="shared" si="6"/>
        <v>#REF!</v>
      </c>
      <c r="D37" s="18" t="e">
        <f>INT(H5*(IF(B37="商务",原材料购买!$D$46,IF(B37="白领",原材料购买!$D$47,IF(B37="青年",原材料购买!$D$48,IF(B37="老年",原材料购买!$D$49))))))</f>
        <v>#REF!</v>
      </c>
    </row>
    <row r="38" spans="1:4" x14ac:dyDescent="0.2">
      <c r="A38" s="69"/>
      <c r="B38" s="19" t="e">
        <f t="shared" si="5"/>
        <v>#REF!</v>
      </c>
      <c r="C38" s="18" t="e">
        <f t="shared" si="6"/>
        <v>#REF!</v>
      </c>
      <c r="D38" s="18" t="e">
        <f>INT(H6*(IF(B38="商务",原材料购买!$D$46,IF(B38="白领",原材料购买!$D$47,IF(B38="青年",原材料购买!$D$48,IF(B38="老年",原材料购买!$D$49))))))</f>
        <v>#REF!</v>
      </c>
    </row>
    <row r="39" spans="1:4" x14ac:dyDescent="0.2">
      <c r="A39" s="69"/>
      <c r="B39" s="19" t="e">
        <f t="shared" si="5"/>
        <v>#REF!</v>
      </c>
      <c r="C39" s="18" t="e">
        <f t="shared" si="6"/>
        <v>#REF!</v>
      </c>
      <c r="D39" s="18" t="e">
        <f>INT(H7*(IF(B39="商务",原材料购买!$D$46,IF(B39="白领",原材料购买!$D$47,IF(B39="青年",原材料购买!$D$48,IF(B39="老年",原材料购买!$D$49))))))</f>
        <v>#REF!</v>
      </c>
    </row>
    <row r="40" spans="1:4" x14ac:dyDescent="0.2">
      <c r="A40" s="69"/>
      <c r="B40" s="19" t="e">
        <f t="shared" si="5"/>
        <v>#REF!</v>
      </c>
      <c r="C40" s="18" t="e">
        <f t="shared" si="6"/>
        <v>#REF!</v>
      </c>
      <c r="D40" s="18" t="e">
        <f>INT(H8*(IF(B40="商务",原材料购买!$D$46,IF(B40="白领",原材料购买!$D$47,IF(B40="青年",原材料购买!$D$48,IF(B40="老年",原材料购买!$D$49))))))</f>
        <v>#REF!</v>
      </c>
    </row>
    <row r="41" spans="1:4" x14ac:dyDescent="0.2">
      <c r="A41" s="69"/>
      <c r="B41" s="19" t="e">
        <f t="shared" si="5"/>
        <v>#REF!</v>
      </c>
      <c r="C41" s="18" t="e">
        <f t="shared" si="6"/>
        <v>#REF!</v>
      </c>
      <c r="D41" s="18" t="e">
        <f>INT(H9*(IF(B41="商务",原材料购买!$D$46,IF(B41="白领",原材料购买!$D$47,IF(B41="青年",原材料购买!$D$48,IF(B41="老年",原材料购买!$D$49))))))</f>
        <v>#REF!</v>
      </c>
    </row>
    <row r="42" spans="1:4" x14ac:dyDescent="0.2">
      <c r="A42" s="68" t="s">
        <v>50</v>
      </c>
      <c r="B42" s="19" t="e">
        <f t="shared" si="5"/>
        <v>#REF!</v>
      </c>
      <c r="C42" s="18" t="e">
        <f t="shared" ref="C42:C49" si="7">G2</f>
        <v>#REF!</v>
      </c>
      <c r="D42" s="18" t="e">
        <f>INT(H2*(IF(B42="商务",原材料购买!$D$50,IF(B42="白领",原材料购买!$D$51,IF(B42="青年",原材料购买!$D$52,IF(B42="老年",原材料购买!$D$53))))))</f>
        <v>#REF!</v>
      </c>
    </row>
    <row r="43" spans="1:4" x14ac:dyDescent="0.2">
      <c r="A43" s="68"/>
      <c r="B43" s="19" t="e">
        <f t="shared" si="5"/>
        <v>#REF!</v>
      </c>
      <c r="C43" s="18" t="e">
        <f t="shared" si="7"/>
        <v>#REF!</v>
      </c>
      <c r="D43" s="18" t="e">
        <f>INT(H3*(IF(B43="商务",原材料购买!$D$50,IF(B43="白领",原材料购买!$D$51,IF(B43="青年",原材料购买!$D$52,IF(B43="老年",原材料购买!$D$53))))))</f>
        <v>#REF!</v>
      </c>
    </row>
    <row r="44" spans="1:4" x14ac:dyDescent="0.2">
      <c r="A44" s="68"/>
      <c r="B44" s="19" t="e">
        <f t="shared" si="5"/>
        <v>#REF!</v>
      </c>
      <c r="C44" s="18" t="e">
        <f t="shared" si="7"/>
        <v>#REF!</v>
      </c>
      <c r="D44" s="18" t="e">
        <f>INT(H4*(IF(B44="商务",原材料购买!$D$50,IF(B44="白领",原材料购买!$D$51,IF(B44="青年",原材料购买!$D$52,IF(B44="老年",原材料购买!$D$53))))))</f>
        <v>#REF!</v>
      </c>
    </row>
    <row r="45" spans="1:4" x14ac:dyDescent="0.2">
      <c r="A45" s="68"/>
      <c r="B45" s="19" t="e">
        <f t="shared" si="5"/>
        <v>#REF!</v>
      </c>
      <c r="C45" s="18" t="e">
        <f t="shared" si="7"/>
        <v>#REF!</v>
      </c>
      <c r="D45" s="18" t="e">
        <f>INT(H5*(IF(B45="商务",原材料购买!$D$50,IF(B45="白领",原材料购买!$D$51,IF(B45="青年",原材料购买!$D$52,IF(B45="老年",原材料购买!$D$53))))))</f>
        <v>#REF!</v>
      </c>
    </row>
    <row r="46" spans="1:4" x14ac:dyDescent="0.2">
      <c r="A46" s="68"/>
      <c r="B46" s="19" t="e">
        <f t="shared" si="5"/>
        <v>#REF!</v>
      </c>
      <c r="C46" s="18" t="e">
        <f t="shared" si="7"/>
        <v>#REF!</v>
      </c>
      <c r="D46" s="18" t="e">
        <f>INT(H6*(IF(B46="商务",原材料购买!$D$50,IF(B46="白领",原材料购买!$D$51,IF(B46="青年",原材料购买!$D$52,IF(B46="老年",原材料购买!$D$53))))))</f>
        <v>#REF!</v>
      </c>
    </row>
    <row r="47" spans="1:4" x14ac:dyDescent="0.2">
      <c r="A47" s="68"/>
      <c r="B47" s="19" t="e">
        <f t="shared" si="5"/>
        <v>#REF!</v>
      </c>
      <c r="C47" s="18" t="e">
        <f t="shared" si="7"/>
        <v>#REF!</v>
      </c>
      <c r="D47" s="18" t="e">
        <f>INT(H7*(IF(B47="商务",原材料购买!$D$50,IF(B47="白领",原材料购买!$D$51,IF(B47="青年",原材料购买!$D$52,IF(B47="老年",原材料购买!$D$53))))))</f>
        <v>#REF!</v>
      </c>
    </row>
    <row r="48" spans="1:4" x14ac:dyDescent="0.2">
      <c r="A48" s="68"/>
      <c r="B48" s="19" t="e">
        <f t="shared" si="5"/>
        <v>#REF!</v>
      </c>
      <c r="C48" s="18" t="e">
        <f t="shared" si="7"/>
        <v>#REF!</v>
      </c>
      <c r="D48" s="18" t="e">
        <f>INT(H8*(IF(B48="商务",原材料购买!$D$50,IF(B48="白领",原材料购买!$D$51,IF(B48="青年",原材料购买!$D$52,IF(B48="老年",原材料购买!$D$53))))))</f>
        <v>#REF!</v>
      </c>
    </row>
    <row r="49" spans="1:5" x14ac:dyDescent="0.2">
      <c r="A49" s="68"/>
      <c r="B49" s="19" t="e">
        <f t="shared" si="5"/>
        <v>#REF!</v>
      </c>
      <c r="C49" s="18" t="e">
        <f t="shared" si="7"/>
        <v>#REF!</v>
      </c>
      <c r="D49" s="18" t="e">
        <f>INT(H9*(IF(B49="商务",原材料购买!$D$50,IF(B49="白领",原材料购买!$D$51,IF(B49="青年",原材料购买!$D$52,IF(B49="老年",原材料购买!$D$53))))))</f>
        <v>#REF!</v>
      </c>
    </row>
    <row r="50" spans="1:5" x14ac:dyDescent="0.2">
      <c r="A50" s="69" t="s">
        <v>51</v>
      </c>
      <c r="B50" s="19" t="e">
        <f t="shared" si="5"/>
        <v>#REF!</v>
      </c>
      <c r="C50" s="18" t="e">
        <f t="shared" ref="C50:C57" si="8">G2</f>
        <v>#REF!</v>
      </c>
      <c r="D50" s="18" t="e">
        <f>INT(H2*(IF(B50="商务",原材料购买!$D$54,IF(B50="白领",原材料购买!$D$55,IF(B50="青年",原材料购买!$D$56,IF(B50="老年",原材料购买!$D$57))))))</f>
        <v>#REF!</v>
      </c>
    </row>
    <row r="51" spans="1:5" x14ac:dyDescent="0.2">
      <c r="A51" s="69"/>
      <c r="B51" s="19" t="e">
        <f t="shared" si="5"/>
        <v>#REF!</v>
      </c>
      <c r="C51" s="18" t="e">
        <f t="shared" si="8"/>
        <v>#REF!</v>
      </c>
      <c r="D51" s="18" t="e">
        <f>INT(H3*(IF(B51="商务",原材料购买!$D$54,IF(B51="白领",原材料购买!$D$55,IF(B51="青年",原材料购买!$D$56,IF(B51="老年",原材料购买!$D$57))))))</f>
        <v>#REF!</v>
      </c>
    </row>
    <row r="52" spans="1:5" x14ac:dyDescent="0.2">
      <c r="A52" s="69"/>
      <c r="B52" s="19" t="e">
        <f t="shared" si="5"/>
        <v>#REF!</v>
      </c>
      <c r="C52" s="18" t="e">
        <f t="shared" si="8"/>
        <v>#REF!</v>
      </c>
      <c r="D52" s="18" t="e">
        <f>INT(H4*(IF(B52="商务",原材料购买!$D$54,IF(B52="白领",原材料购买!$D$55,IF(B52="青年",原材料购买!$D$56,IF(B52="老年",原材料购买!$D$57))))))</f>
        <v>#REF!</v>
      </c>
    </row>
    <row r="53" spans="1:5" x14ac:dyDescent="0.2">
      <c r="A53" s="69"/>
      <c r="B53" s="19" t="e">
        <f t="shared" si="5"/>
        <v>#REF!</v>
      </c>
      <c r="C53" s="18" t="e">
        <f t="shared" si="8"/>
        <v>#REF!</v>
      </c>
      <c r="D53" s="18" t="e">
        <f>INT(H5*(IF(B53="商务",原材料购买!$D$54,IF(B53="白领",原材料购买!$D$55,IF(B53="青年",原材料购买!$D$56,IF(B53="老年",原材料购买!$D$57))))))</f>
        <v>#REF!</v>
      </c>
    </row>
    <row r="54" spans="1:5" x14ac:dyDescent="0.2">
      <c r="A54" s="69"/>
      <c r="B54" s="19" t="e">
        <f t="shared" si="5"/>
        <v>#REF!</v>
      </c>
      <c r="C54" s="18" t="e">
        <f t="shared" si="8"/>
        <v>#REF!</v>
      </c>
      <c r="D54" s="18" t="e">
        <f>INT(H6*(IF(B54="商务",原材料购买!$D$54,IF(B54="白领",原材料购买!$D$55,IF(B54="青年",原材料购买!$D$56,IF(B54="老年",原材料购买!$D$57))))))</f>
        <v>#REF!</v>
      </c>
    </row>
    <row r="55" spans="1:5" x14ac:dyDescent="0.2">
      <c r="A55" s="69"/>
      <c r="B55" s="19" t="e">
        <f t="shared" si="5"/>
        <v>#REF!</v>
      </c>
      <c r="C55" s="18" t="e">
        <f t="shared" si="8"/>
        <v>#REF!</v>
      </c>
      <c r="D55" s="18" t="e">
        <f>INT(H7*(IF(B55="商务",原材料购买!$D$54,IF(B55="白领",原材料购买!$D$55,IF(B55="青年",原材料购买!$D$56,IF(B55="老年",原材料购买!$D$57))))))</f>
        <v>#REF!</v>
      </c>
    </row>
    <row r="56" spans="1:5" x14ac:dyDescent="0.2">
      <c r="A56" s="69"/>
      <c r="B56" s="19" t="e">
        <f t="shared" si="5"/>
        <v>#REF!</v>
      </c>
      <c r="C56" s="18" t="e">
        <f t="shared" si="8"/>
        <v>#REF!</v>
      </c>
      <c r="D56" s="18" t="e">
        <f>INT(H8*(IF(B56="商务",原材料购买!$D$54,IF(B56="白领",原材料购买!$D$55,IF(B56="青年",原材料购买!$D$56,IF(B56="老年",原材料购买!$D$57))))))</f>
        <v>#REF!</v>
      </c>
    </row>
    <row r="57" spans="1:5" x14ac:dyDescent="0.2">
      <c r="A57" s="69"/>
      <c r="B57" s="19" t="e">
        <f t="shared" si="5"/>
        <v>#REF!</v>
      </c>
      <c r="C57" s="18" t="e">
        <f t="shared" si="8"/>
        <v>#REF!</v>
      </c>
      <c r="D57" s="18" t="e">
        <f>INT(H9*(IF(B57="商务",原材料购买!$D$54,IF(B57="白领",原材料购买!$D$55,IF(B57="青年",原材料购买!$D$56,IF(B57="老年",原材料购买!$D$57))))))</f>
        <v>#REF!</v>
      </c>
    </row>
    <row r="58" spans="1:5" x14ac:dyDescent="0.2">
      <c r="B58" s="68" t="s">
        <v>62</v>
      </c>
      <c r="C58" s="68"/>
      <c r="D58" s="68"/>
      <c r="E58" s="68"/>
    </row>
    <row r="59" spans="1:5" x14ac:dyDescent="0.2">
      <c r="A59" t="s">
        <v>63</v>
      </c>
      <c r="B59" t="s">
        <v>66</v>
      </c>
      <c r="C59" t="s">
        <v>64</v>
      </c>
      <c r="D59" t="s">
        <v>61</v>
      </c>
      <c r="E59" t="s">
        <v>65</v>
      </c>
    </row>
    <row r="60" spans="1:5" x14ac:dyDescent="0.2">
      <c r="A60" s="20" t="str">
        <f t="shared" ref="A60:A67" si="9">MID(B60,1,2)</f>
        <v>青年</v>
      </c>
      <c r="B60" t="s">
        <v>56</v>
      </c>
      <c r="C60" t="e">
        <f t="shared" ref="C60:C67" si="10">D2+D10+D18+D26+D34+D42+D50</f>
        <v>#REF!</v>
      </c>
      <c r="D60" t="e">
        <f t="shared" ref="D60:D67" si="11">H2</f>
        <v>#REF!</v>
      </c>
      <c r="E60" t="e">
        <f>D60-C60</f>
        <v>#REF!</v>
      </c>
    </row>
    <row r="61" spans="1:5" x14ac:dyDescent="0.2">
      <c r="A61" s="20" t="str">
        <f t="shared" si="9"/>
        <v>青年</v>
      </c>
      <c r="B61" t="s">
        <v>59</v>
      </c>
      <c r="C61" t="e">
        <f t="shared" si="10"/>
        <v>#REF!</v>
      </c>
      <c r="D61" t="e">
        <f t="shared" si="11"/>
        <v>#REF!</v>
      </c>
      <c r="E61" t="e">
        <f t="shared" ref="E61:E67" si="12">D61-C61</f>
        <v>#REF!</v>
      </c>
    </row>
    <row r="62" spans="1:5" x14ac:dyDescent="0.2">
      <c r="A62" s="20" t="str">
        <f t="shared" si="9"/>
        <v>白领</v>
      </c>
      <c r="B62" t="s">
        <v>52</v>
      </c>
      <c r="C62" t="e">
        <f t="shared" si="10"/>
        <v>#REF!</v>
      </c>
      <c r="D62" t="e">
        <f t="shared" si="11"/>
        <v>#REF!</v>
      </c>
      <c r="E62" t="e">
        <f t="shared" si="12"/>
        <v>#REF!</v>
      </c>
    </row>
    <row r="63" spans="1:5" x14ac:dyDescent="0.2">
      <c r="A63" s="20" t="str">
        <f t="shared" si="9"/>
        <v>白领</v>
      </c>
      <c r="B63" t="s">
        <v>53</v>
      </c>
      <c r="C63" t="e">
        <f t="shared" si="10"/>
        <v>#REF!</v>
      </c>
      <c r="D63" t="e">
        <f t="shared" si="11"/>
        <v>#REF!</v>
      </c>
      <c r="E63" t="e">
        <f t="shared" si="12"/>
        <v>#REF!</v>
      </c>
    </row>
    <row r="64" spans="1:5" x14ac:dyDescent="0.2">
      <c r="A64" s="20" t="str">
        <f t="shared" si="9"/>
        <v>商务</v>
      </c>
      <c r="B64" t="s">
        <v>54</v>
      </c>
      <c r="C64" t="e">
        <f t="shared" si="10"/>
        <v>#REF!</v>
      </c>
      <c r="D64" t="e">
        <f t="shared" si="11"/>
        <v>#REF!</v>
      </c>
      <c r="E64" t="e">
        <f t="shared" si="12"/>
        <v>#REF!</v>
      </c>
    </row>
    <row r="65" spans="1:5" x14ac:dyDescent="0.2">
      <c r="A65" s="20" t="str">
        <f t="shared" si="9"/>
        <v>商务</v>
      </c>
      <c r="B65" t="s">
        <v>55</v>
      </c>
      <c r="C65" t="e">
        <f t="shared" si="10"/>
        <v>#REF!</v>
      </c>
      <c r="D65" t="e">
        <f t="shared" si="11"/>
        <v>#REF!</v>
      </c>
      <c r="E65" t="e">
        <f t="shared" si="12"/>
        <v>#REF!</v>
      </c>
    </row>
    <row r="66" spans="1:5" x14ac:dyDescent="0.2">
      <c r="A66" s="20" t="str">
        <f t="shared" si="9"/>
        <v>老年</v>
      </c>
      <c r="B66" t="s">
        <v>57</v>
      </c>
      <c r="C66" t="e">
        <f t="shared" si="10"/>
        <v>#REF!</v>
      </c>
      <c r="D66" t="e">
        <f t="shared" si="11"/>
        <v>#REF!</v>
      </c>
      <c r="E66" t="e">
        <f t="shared" si="12"/>
        <v>#REF!</v>
      </c>
    </row>
    <row r="67" spans="1:5" x14ac:dyDescent="0.2">
      <c r="A67" s="20" t="str">
        <f t="shared" si="9"/>
        <v>老年</v>
      </c>
      <c r="B67" t="s">
        <v>58</v>
      </c>
      <c r="C67" t="e">
        <f t="shared" si="10"/>
        <v>#REF!</v>
      </c>
      <c r="D67" t="e">
        <f t="shared" si="11"/>
        <v>#REF!</v>
      </c>
      <c r="E67" t="e">
        <f t="shared" si="12"/>
        <v>#REF!</v>
      </c>
    </row>
  </sheetData>
  <sheetProtection algorithmName="SHA-512" hashValue="r0ynqgxRb/5pbSWYc3dQnxx4BjFTNv2ng+s2bBa8ehPWxEyuDvdkkJVyLfH1JHPCADuKm90dkbGGQiASTqaJPQ==" saltValue="ma8WL0B6Cimzd4i8Eu3dZw==" spinCount="100000" sheet="1" objects="1" scenarios="1"/>
  <mergeCells count="9">
    <mergeCell ref="B58:E58"/>
    <mergeCell ref="A42:A49"/>
    <mergeCell ref="A50:A57"/>
    <mergeCell ref="B1:C1"/>
    <mergeCell ref="A2:A9"/>
    <mergeCell ref="A18:A25"/>
    <mergeCell ref="A10:A17"/>
    <mergeCell ref="A34:A41"/>
    <mergeCell ref="A26:A33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362B7-E4A1-4F03-A8D1-41FA303B993E}">
  <sheetPr codeName="Sheet4"/>
  <dimension ref="A1:O19"/>
  <sheetViews>
    <sheetView workbookViewId="0">
      <selection activeCell="Q19" sqref="Q19"/>
    </sheetView>
  </sheetViews>
  <sheetFormatPr defaultRowHeight="14.25" x14ac:dyDescent="0.2"/>
  <cols>
    <col min="15" max="15" width="13.5" customWidth="1"/>
  </cols>
  <sheetData>
    <row r="1" spans="1:15" x14ac:dyDescent="0.2">
      <c r="A1" s="36"/>
      <c r="B1" s="46" t="s">
        <v>67</v>
      </c>
      <c r="C1" s="46" t="s">
        <v>68</v>
      </c>
      <c r="D1" s="46" t="s">
        <v>69</v>
      </c>
      <c r="E1" s="46" t="s">
        <v>70</v>
      </c>
      <c r="F1" s="46" t="s">
        <v>71</v>
      </c>
      <c r="G1" s="46" t="s">
        <v>72</v>
      </c>
      <c r="H1" s="59" t="s">
        <v>73</v>
      </c>
      <c r="I1" s="46" t="s">
        <v>67</v>
      </c>
      <c r="J1" s="46" t="s">
        <v>68</v>
      </c>
      <c r="K1" s="46" t="s">
        <v>69</v>
      </c>
      <c r="L1" s="46" t="s">
        <v>70</v>
      </c>
      <c r="M1" s="46" t="s">
        <v>71</v>
      </c>
      <c r="N1" s="46" t="s">
        <v>72</v>
      </c>
      <c r="O1" s="47" t="s">
        <v>74</v>
      </c>
    </row>
    <row r="2" spans="1:15" x14ac:dyDescent="0.2">
      <c r="A2" s="36"/>
      <c r="B2" s="59" t="s">
        <v>75</v>
      </c>
      <c r="C2" s="59"/>
      <c r="D2" s="59"/>
      <c r="E2" s="59"/>
      <c r="F2" s="59"/>
      <c r="G2" s="59"/>
      <c r="H2" s="59"/>
      <c r="I2" s="71" t="s">
        <v>76</v>
      </c>
      <c r="J2" s="71"/>
      <c r="K2" s="71"/>
      <c r="L2" s="71"/>
      <c r="M2" s="71"/>
      <c r="N2" s="71"/>
      <c r="O2" s="36"/>
    </row>
    <row r="3" spans="1:15" x14ac:dyDescent="0.2">
      <c r="A3" s="48">
        <v>1.1000000000000001</v>
      </c>
      <c r="B3" s="49">
        <v>40</v>
      </c>
      <c r="C3" s="49">
        <v>42</v>
      </c>
      <c r="D3" s="49">
        <v>38</v>
      </c>
      <c r="E3" s="49">
        <v>36</v>
      </c>
      <c r="F3" s="49">
        <v>38</v>
      </c>
      <c r="G3" s="49">
        <v>0</v>
      </c>
      <c r="H3" s="50">
        <f>原材料购买!K4</f>
        <v>540</v>
      </c>
      <c r="I3" s="49">
        <f>IF($H3&lt;=200,$H3*B3,IF($H3&lt;=500,$H3*B3*0.95,IF($H3&lt;=1000,$H3*B3*0.9,IF($H3&lt;=1500,$H3*B3*0.85,IF($H3&lt;=2000,$H3*B3*0.8,$H3*B3*0.75)))))</f>
        <v>19440</v>
      </c>
      <c r="J3" s="49">
        <f t="shared" ref="J3:N16" si="0">IF($H3&lt;=200,$H3*C3,IF($H3&lt;=500,$H3*C3*0.95,IF($H3&lt;=1000,$H3*C3*0.9,IF($H3&lt;=1500,$H3*C3*0.85,IF($H3&lt;=2000,$H3*C3*0.8,$H3*C3*0.75)))))</f>
        <v>20412</v>
      </c>
      <c r="K3" s="49">
        <f t="shared" si="0"/>
        <v>18468</v>
      </c>
      <c r="L3" s="49">
        <f t="shared" si="0"/>
        <v>17496</v>
      </c>
      <c r="M3" s="49">
        <f t="shared" si="0"/>
        <v>18468</v>
      </c>
      <c r="N3" s="49">
        <f t="shared" si="0"/>
        <v>0</v>
      </c>
      <c r="O3" s="36"/>
    </row>
    <row r="4" spans="1:15" x14ac:dyDescent="0.2">
      <c r="A4" s="48">
        <v>1.2</v>
      </c>
      <c r="B4" s="49">
        <v>80</v>
      </c>
      <c r="C4" s="49">
        <v>82</v>
      </c>
      <c r="D4" s="49">
        <v>75</v>
      </c>
      <c r="E4" s="49">
        <v>78</v>
      </c>
      <c r="F4" s="49">
        <v>80</v>
      </c>
      <c r="G4" s="49">
        <v>0</v>
      </c>
      <c r="H4" s="50">
        <f>原材料购买!K5</f>
        <v>180</v>
      </c>
      <c r="I4" s="49">
        <f t="shared" ref="I4:I16" si="1">IF($H4&lt;=200,$H4*B4,IF($H4&lt;=500,$H4*B4*0.95,IF($H4&lt;=1000,$H4*B4*0.9,IF($H4&lt;=1500,$H4*B4*0.85,IF($H4&lt;=2000,$H4*B4*0.8,$H4*B4*0.75)))))</f>
        <v>14400</v>
      </c>
      <c r="J4" s="49">
        <f t="shared" si="0"/>
        <v>14760</v>
      </c>
      <c r="K4" s="49">
        <f t="shared" si="0"/>
        <v>13500</v>
      </c>
      <c r="L4" s="49">
        <f t="shared" si="0"/>
        <v>14040</v>
      </c>
      <c r="M4" s="49">
        <f t="shared" si="0"/>
        <v>14400</v>
      </c>
      <c r="N4" s="49">
        <f t="shared" si="0"/>
        <v>0</v>
      </c>
      <c r="O4" s="36"/>
    </row>
    <row r="5" spans="1:15" x14ac:dyDescent="0.2">
      <c r="A5" s="48">
        <v>1.3</v>
      </c>
      <c r="B5" s="49">
        <v>110</v>
      </c>
      <c r="C5" s="49">
        <v>108</v>
      </c>
      <c r="D5" s="49">
        <v>106</v>
      </c>
      <c r="E5" s="49">
        <v>112</v>
      </c>
      <c r="F5" s="49">
        <v>114</v>
      </c>
      <c r="G5" s="49">
        <v>0</v>
      </c>
      <c r="H5" s="50">
        <f>原材料购买!K6</f>
        <v>0</v>
      </c>
      <c r="I5" s="49">
        <f t="shared" si="1"/>
        <v>0</v>
      </c>
      <c r="J5" s="49">
        <f t="shared" si="0"/>
        <v>0</v>
      </c>
      <c r="K5" s="49">
        <f t="shared" si="0"/>
        <v>0</v>
      </c>
      <c r="L5" s="49">
        <f t="shared" si="0"/>
        <v>0</v>
      </c>
      <c r="M5" s="49">
        <f t="shared" si="0"/>
        <v>0</v>
      </c>
      <c r="N5" s="49">
        <f t="shared" si="0"/>
        <v>0</v>
      </c>
      <c r="O5" s="43">
        <v>0</v>
      </c>
    </row>
    <row r="6" spans="1:15" x14ac:dyDescent="0.2">
      <c r="A6" s="36">
        <v>2.1</v>
      </c>
      <c r="B6" s="46">
        <v>10</v>
      </c>
      <c r="C6" s="46">
        <v>13</v>
      </c>
      <c r="D6" s="46">
        <v>14</v>
      </c>
      <c r="E6" s="46">
        <v>12</v>
      </c>
      <c r="F6" s="46">
        <v>9</v>
      </c>
      <c r="G6" s="46">
        <v>0</v>
      </c>
      <c r="H6" s="50">
        <f>原材料购买!K7</f>
        <v>720</v>
      </c>
      <c r="I6" s="46">
        <f t="shared" si="1"/>
        <v>6480</v>
      </c>
      <c r="J6" s="46">
        <f t="shared" si="0"/>
        <v>8424</v>
      </c>
      <c r="K6" s="46">
        <f t="shared" si="0"/>
        <v>9072</v>
      </c>
      <c r="L6" s="46">
        <f t="shared" si="0"/>
        <v>7776</v>
      </c>
      <c r="M6" s="46">
        <f t="shared" si="0"/>
        <v>5832</v>
      </c>
      <c r="N6" s="46">
        <f t="shared" si="0"/>
        <v>0</v>
      </c>
      <c r="O6" s="36"/>
    </row>
    <row r="7" spans="1:15" x14ac:dyDescent="0.2">
      <c r="A7" s="36">
        <v>2.2000000000000002</v>
      </c>
      <c r="B7" s="46">
        <v>20</v>
      </c>
      <c r="C7" s="46">
        <v>18</v>
      </c>
      <c r="D7" s="46">
        <v>22</v>
      </c>
      <c r="E7" s="46">
        <v>25</v>
      </c>
      <c r="F7" s="46">
        <v>20</v>
      </c>
      <c r="G7" s="46">
        <v>0</v>
      </c>
      <c r="H7" s="50">
        <f>原材料购买!K8</f>
        <v>0</v>
      </c>
      <c r="I7" s="46">
        <f t="shared" si="1"/>
        <v>0</v>
      </c>
      <c r="J7" s="46">
        <f t="shared" si="0"/>
        <v>0</v>
      </c>
      <c r="K7" s="46">
        <f t="shared" si="0"/>
        <v>0</v>
      </c>
      <c r="L7" s="46">
        <f t="shared" si="0"/>
        <v>0</v>
      </c>
      <c r="M7" s="46">
        <f t="shared" si="0"/>
        <v>0</v>
      </c>
      <c r="N7" s="46">
        <f t="shared" si="0"/>
        <v>0</v>
      </c>
      <c r="O7" s="36"/>
    </row>
    <row r="8" spans="1:15" x14ac:dyDescent="0.2">
      <c r="A8" s="36">
        <v>2.2999999999999998</v>
      </c>
      <c r="B8" s="46">
        <v>35</v>
      </c>
      <c r="C8" s="46">
        <v>30</v>
      </c>
      <c r="D8" s="46">
        <v>32</v>
      </c>
      <c r="E8" s="46">
        <v>37</v>
      </c>
      <c r="F8" s="46">
        <v>39</v>
      </c>
      <c r="G8" s="46">
        <v>0</v>
      </c>
      <c r="H8" s="50">
        <f>原材料购买!K9</f>
        <v>0</v>
      </c>
      <c r="I8" s="46">
        <f t="shared" si="1"/>
        <v>0</v>
      </c>
      <c r="J8" s="46">
        <f t="shared" si="0"/>
        <v>0</v>
      </c>
      <c r="K8" s="46">
        <f t="shared" si="0"/>
        <v>0</v>
      </c>
      <c r="L8" s="46">
        <f t="shared" si="0"/>
        <v>0</v>
      </c>
      <c r="M8" s="46">
        <f t="shared" si="0"/>
        <v>0</v>
      </c>
      <c r="N8" s="46">
        <f t="shared" si="0"/>
        <v>0</v>
      </c>
      <c r="O8" s="36"/>
    </row>
    <row r="9" spans="1:15" x14ac:dyDescent="0.2">
      <c r="A9" s="48">
        <v>3.1</v>
      </c>
      <c r="B9" s="49">
        <v>50</v>
      </c>
      <c r="C9" s="49">
        <v>51</v>
      </c>
      <c r="D9" s="49">
        <v>53</v>
      </c>
      <c r="E9" s="49">
        <v>50</v>
      </c>
      <c r="F9" s="49">
        <v>58</v>
      </c>
      <c r="G9" s="49">
        <v>0</v>
      </c>
      <c r="H9" s="50">
        <f>原材料购买!K10</f>
        <v>0</v>
      </c>
      <c r="I9" s="49">
        <f t="shared" si="1"/>
        <v>0</v>
      </c>
      <c r="J9" s="49">
        <f t="shared" si="0"/>
        <v>0</v>
      </c>
      <c r="K9" s="49">
        <f t="shared" si="0"/>
        <v>0</v>
      </c>
      <c r="L9" s="49">
        <f t="shared" si="0"/>
        <v>0</v>
      </c>
      <c r="M9" s="49">
        <f t="shared" si="0"/>
        <v>0</v>
      </c>
      <c r="N9" s="49">
        <f t="shared" si="0"/>
        <v>0</v>
      </c>
      <c r="O9" s="36"/>
    </row>
    <row r="10" spans="1:15" x14ac:dyDescent="0.2">
      <c r="A10" s="48">
        <v>3.2</v>
      </c>
      <c r="B10" s="49">
        <v>80</v>
      </c>
      <c r="C10" s="49">
        <v>75</v>
      </c>
      <c r="D10" s="49">
        <v>73</v>
      </c>
      <c r="E10" s="49">
        <v>72</v>
      </c>
      <c r="F10" s="49">
        <v>75</v>
      </c>
      <c r="G10" s="49">
        <v>0</v>
      </c>
      <c r="H10" s="50">
        <f>原材料购买!K11</f>
        <v>360</v>
      </c>
      <c r="I10" s="49">
        <f t="shared" si="1"/>
        <v>27360</v>
      </c>
      <c r="J10" s="49">
        <f t="shared" si="0"/>
        <v>25650</v>
      </c>
      <c r="K10" s="49">
        <f t="shared" si="0"/>
        <v>24966</v>
      </c>
      <c r="L10" s="49">
        <f t="shared" si="0"/>
        <v>24624</v>
      </c>
      <c r="M10" s="49">
        <f t="shared" si="0"/>
        <v>25650</v>
      </c>
      <c r="N10" s="49">
        <f t="shared" si="0"/>
        <v>0</v>
      </c>
      <c r="O10" s="36"/>
    </row>
    <row r="11" spans="1:15" x14ac:dyDescent="0.2">
      <c r="A11" s="48">
        <v>3.3</v>
      </c>
      <c r="B11" s="49">
        <v>110</v>
      </c>
      <c r="C11" s="49">
        <v>115</v>
      </c>
      <c r="D11" s="49">
        <v>115</v>
      </c>
      <c r="E11" s="49">
        <v>118</v>
      </c>
      <c r="F11" s="49">
        <v>120</v>
      </c>
      <c r="G11" s="49">
        <v>0</v>
      </c>
      <c r="H11" s="50">
        <f>原材料购买!K12</f>
        <v>360</v>
      </c>
      <c r="I11" s="49">
        <f t="shared" si="1"/>
        <v>37620</v>
      </c>
      <c r="J11" s="49">
        <f t="shared" si="0"/>
        <v>39330</v>
      </c>
      <c r="K11" s="49">
        <f t="shared" si="0"/>
        <v>39330</v>
      </c>
      <c r="L11" s="49">
        <f t="shared" si="0"/>
        <v>40356</v>
      </c>
      <c r="M11" s="49">
        <f t="shared" si="0"/>
        <v>41040</v>
      </c>
      <c r="N11" s="49">
        <f t="shared" si="0"/>
        <v>0</v>
      </c>
      <c r="O11" s="36"/>
    </row>
    <row r="12" spans="1:15" x14ac:dyDescent="0.2">
      <c r="A12" s="48">
        <v>3.4</v>
      </c>
      <c r="B12" s="49">
        <v>160</v>
      </c>
      <c r="C12" s="49">
        <v>155</v>
      </c>
      <c r="D12" s="49">
        <v>150</v>
      </c>
      <c r="E12" s="49">
        <v>150</v>
      </c>
      <c r="F12" s="49">
        <v>145</v>
      </c>
      <c r="G12" s="49">
        <v>0</v>
      </c>
      <c r="H12" s="50">
        <f>原材料购买!K13</f>
        <v>0</v>
      </c>
      <c r="I12" s="49">
        <f t="shared" si="1"/>
        <v>0</v>
      </c>
      <c r="J12" s="49">
        <f t="shared" si="0"/>
        <v>0</v>
      </c>
      <c r="K12" s="49">
        <f t="shared" si="0"/>
        <v>0</v>
      </c>
      <c r="L12" s="49">
        <f t="shared" si="0"/>
        <v>0</v>
      </c>
      <c r="M12" s="49">
        <f t="shared" si="0"/>
        <v>0</v>
      </c>
      <c r="N12" s="49">
        <f t="shared" si="0"/>
        <v>0</v>
      </c>
      <c r="O12" s="36"/>
    </row>
    <row r="13" spans="1:15" x14ac:dyDescent="0.2">
      <c r="A13" s="36">
        <v>4.0999999999999996</v>
      </c>
      <c r="B13" s="46">
        <v>50</v>
      </c>
      <c r="C13" s="46">
        <v>48</v>
      </c>
      <c r="D13" s="46">
        <v>46</v>
      </c>
      <c r="E13" s="46">
        <v>44</v>
      </c>
      <c r="F13" s="46">
        <v>47</v>
      </c>
      <c r="G13" s="46">
        <v>0</v>
      </c>
      <c r="H13" s="50">
        <f>原材料购买!K14</f>
        <v>180</v>
      </c>
      <c r="I13" s="46">
        <f t="shared" si="1"/>
        <v>9000</v>
      </c>
      <c r="J13" s="46">
        <f t="shared" si="0"/>
        <v>8640</v>
      </c>
      <c r="K13" s="46">
        <f t="shared" si="0"/>
        <v>8280</v>
      </c>
      <c r="L13" s="46">
        <f t="shared" si="0"/>
        <v>7920</v>
      </c>
      <c r="M13" s="46">
        <f t="shared" si="0"/>
        <v>8460</v>
      </c>
      <c r="N13" s="46">
        <f t="shared" si="0"/>
        <v>0</v>
      </c>
      <c r="O13" s="43">
        <v>0</v>
      </c>
    </row>
    <row r="14" spans="1:15" x14ac:dyDescent="0.2">
      <c r="A14" s="36">
        <v>4.2</v>
      </c>
      <c r="B14" s="46">
        <v>50</v>
      </c>
      <c r="C14" s="46">
        <v>48</v>
      </c>
      <c r="D14" s="46">
        <v>50</v>
      </c>
      <c r="E14" s="46">
        <v>52</v>
      </c>
      <c r="F14" s="46">
        <v>50</v>
      </c>
      <c r="G14" s="46">
        <v>0</v>
      </c>
      <c r="H14" s="50">
        <f>原材料购买!K15</f>
        <v>0</v>
      </c>
      <c r="I14" s="46">
        <f t="shared" si="1"/>
        <v>0</v>
      </c>
      <c r="J14" s="46">
        <f t="shared" si="0"/>
        <v>0</v>
      </c>
      <c r="K14" s="46">
        <f t="shared" si="0"/>
        <v>0</v>
      </c>
      <c r="L14" s="46">
        <f t="shared" si="0"/>
        <v>0</v>
      </c>
      <c r="M14" s="46">
        <f t="shared" si="0"/>
        <v>0</v>
      </c>
      <c r="N14" s="46">
        <f t="shared" si="0"/>
        <v>0</v>
      </c>
      <c r="O14" s="43">
        <v>0</v>
      </c>
    </row>
    <row r="15" spans="1:15" x14ac:dyDescent="0.2">
      <c r="A15" s="36">
        <v>4.3</v>
      </c>
      <c r="B15" s="46">
        <v>80</v>
      </c>
      <c r="C15" s="46">
        <v>75</v>
      </c>
      <c r="D15" s="46">
        <v>78</v>
      </c>
      <c r="E15" s="46">
        <v>75</v>
      </c>
      <c r="F15" s="46">
        <v>74</v>
      </c>
      <c r="G15" s="46">
        <v>0</v>
      </c>
      <c r="H15" s="50">
        <f>原材料购买!K16</f>
        <v>0</v>
      </c>
      <c r="I15" s="46">
        <f t="shared" si="1"/>
        <v>0</v>
      </c>
      <c r="J15" s="46">
        <f t="shared" si="0"/>
        <v>0</v>
      </c>
      <c r="K15" s="46">
        <f t="shared" si="0"/>
        <v>0</v>
      </c>
      <c r="L15" s="46">
        <f t="shared" si="0"/>
        <v>0</v>
      </c>
      <c r="M15" s="46">
        <f t="shared" si="0"/>
        <v>0</v>
      </c>
      <c r="N15" s="46">
        <f t="shared" si="0"/>
        <v>0</v>
      </c>
      <c r="O15" s="43">
        <v>0</v>
      </c>
    </row>
    <row r="16" spans="1:15" x14ac:dyDescent="0.2">
      <c r="A16" s="36">
        <v>4.4000000000000004</v>
      </c>
      <c r="B16" s="46">
        <v>90</v>
      </c>
      <c r="C16" s="46">
        <v>82</v>
      </c>
      <c r="D16" s="46">
        <v>83</v>
      </c>
      <c r="E16" s="46">
        <v>85</v>
      </c>
      <c r="F16" s="46">
        <v>87</v>
      </c>
      <c r="G16" s="46">
        <v>0</v>
      </c>
      <c r="H16" s="50">
        <f>原材料购买!K17</f>
        <v>0</v>
      </c>
      <c r="I16" s="46">
        <f t="shared" si="1"/>
        <v>0</v>
      </c>
      <c r="J16" s="46">
        <f t="shared" si="0"/>
        <v>0</v>
      </c>
      <c r="K16" s="46">
        <f t="shared" si="0"/>
        <v>0</v>
      </c>
      <c r="L16" s="46">
        <f t="shared" si="0"/>
        <v>0</v>
      </c>
      <c r="M16" s="46">
        <f t="shared" si="0"/>
        <v>0</v>
      </c>
      <c r="N16" s="46">
        <f t="shared" si="0"/>
        <v>0</v>
      </c>
      <c r="O16" s="43">
        <v>0</v>
      </c>
    </row>
    <row r="17" spans="1:15" x14ac:dyDescent="0.2">
      <c r="A17" s="51"/>
      <c r="B17" s="52"/>
      <c r="C17" s="52"/>
      <c r="D17" s="52"/>
      <c r="E17" s="52"/>
      <c r="F17" s="52"/>
      <c r="G17" s="51"/>
      <c r="H17" s="53" t="s">
        <v>77</v>
      </c>
      <c r="I17" s="53">
        <f>(I6+I9+I11)*1.17</f>
        <v>51597</v>
      </c>
      <c r="J17" s="53">
        <f t="shared" ref="J17:N17" si="2">(J6+J9+J11)*1.17</f>
        <v>55872.179999999993</v>
      </c>
      <c r="K17" s="53">
        <f t="shared" si="2"/>
        <v>56630.34</v>
      </c>
      <c r="L17" s="53">
        <f t="shared" si="2"/>
        <v>56314.439999999995</v>
      </c>
      <c r="M17" s="53">
        <f t="shared" si="2"/>
        <v>54840.24</v>
      </c>
      <c r="N17" s="53">
        <f t="shared" si="2"/>
        <v>0</v>
      </c>
      <c r="O17" s="36"/>
    </row>
    <row r="18" spans="1:15" x14ac:dyDescent="0.2">
      <c r="A18" s="51"/>
      <c r="B18" s="52"/>
      <c r="C18" s="52"/>
      <c r="D18" s="52"/>
      <c r="E18" s="52"/>
      <c r="F18" s="52"/>
      <c r="G18" s="51"/>
      <c r="H18" s="54" t="s">
        <v>78</v>
      </c>
      <c r="I18" s="54">
        <f>I19-I17</f>
        <v>82134</v>
      </c>
      <c r="J18" s="54">
        <f t="shared" ref="J18:N18" si="3">J19-J17</f>
        <v>81270.540000000008</v>
      </c>
      <c r="K18" s="54">
        <f t="shared" si="3"/>
        <v>76300.38</v>
      </c>
      <c r="L18" s="54">
        <f t="shared" si="3"/>
        <v>74973.599999999977</v>
      </c>
      <c r="M18" s="54">
        <f t="shared" si="3"/>
        <v>78364.260000000009</v>
      </c>
      <c r="N18" s="54">
        <f t="shared" si="3"/>
        <v>0</v>
      </c>
      <c r="O18" s="36"/>
    </row>
    <row r="19" spans="1:15" x14ac:dyDescent="0.2">
      <c r="A19" s="51"/>
      <c r="B19" s="51"/>
      <c r="C19" s="51"/>
      <c r="D19" s="51"/>
      <c r="E19" s="51"/>
      <c r="F19" s="51"/>
      <c r="G19" s="51"/>
      <c r="H19" s="55" t="s">
        <v>79</v>
      </c>
      <c r="I19" s="55">
        <f>SUM(I3:I16)*1.17+IF($O$5=1,I5*1.17*0.5,0)+IF($O$13=1,I13*1.17*0.5,0)+IF($O$14=1,I14*1.17*0.5,0)+IF($O$15=1,I15*1.17*0.5,0)+IF($O$16=1,I16*1.17*0.5,0)</f>
        <v>133731</v>
      </c>
      <c r="J19" s="55">
        <f t="shared" ref="J19:N19" si="4">SUM(J3:J16)*1.17+IF($O$5=1,J5*1.17*0.5,0)+IF($O$13=1,J13*1.17*0.5,0)+IF($O$14=1,J14*1.17*0.5,0)+IF($O$15=1,J15*1.17*0.5,0)+IF($O$16=1,J16*1.17*0.5,0)</f>
        <v>137142.72</v>
      </c>
      <c r="K19" s="55">
        <f t="shared" si="4"/>
        <v>132930.72</v>
      </c>
      <c r="L19" s="55">
        <f t="shared" si="4"/>
        <v>131288.03999999998</v>
      </c>
      <c r="M19" s="55">
        <f t="shared" si="4"/>
        <v>133204.5</v>
      </c>
      <c r="N19" s="55">
        <f t="shared" si="4"/>
        <v>0</v>
      </c>
      <c r="O19" s="36"/>
    </row>
  </sheetData>
  <sheetProtection algorithmName="SHA-512" hashValue="aOXYLaP476Fhc3d/UghzuhrYrmaQyZHDF/CmOoshgXaJAikq+MlI9mT+BCCVSn9EagJBJxzxMsM9bJOPf+yemg==" saltValue="gGlc+uqJTKbO6j8VvLyP9Q==" spinCount="100000" sheet="1" objects="1" scenarios="1"/>
  <mergeCells count="3">
    <mergeCell ref="H1:H2"/>
    <mergeCell ref="B2:G2"/>
    <mergeCell ref="I2:N2"/>
  </mergeCells>
  <phoneticPr fontId="1" type="noConversion"/>
  <dataValidations count="1">
    <dataValidation type="whole" allowBlank="1" showInputMessage="1" showErrorMessage="1" prompt="0，无紧急采购_x000a_1，有紧急采购" sqref="O5 O13:O16" xr:uid="{A4711241-6367-4D0A-A459-C7749327CBEB}">
      <formula1>0</formula1>
      <formula2>1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318AE-0F5D-466F-8991-056B380A42C0}">
  <sheetPr codeName="Sheet5"/>
  <dimension ref="A1:D34"/>
  <sheetViews>
    <sheetView workbookViewId="0">
      <selection activeCell="F23" sqref="F23"/>
    </sheetView>
  </sheetViews>
  <sheetFormatPr defaultRowHeight="14.25" x14ac:dyDescent="0.2"/>
  <cols>
    <col min="1" max="1" width="19.875" customWidth="1"/>
  </cols>
  <sheetData>
    <row r="1" spans="1:4" x14ac:dyDescent="0.2">
      <c r="A1" s="36" t="s">
        <v>80</v>
      </c>
      <c r="B1" s="36" t="s">
        <v>81</v>
      </c>
      <c r="C1" s="36" t="s">
        <v>82</v>
      </c>
      <c r="D1" s="36" t="s">
        <v>83</v>
      </c>
    </row>
    <row r="2" spans="1:4" x14ac:dyDescent="0.2">
      <c r="A2" s="36" t="s">
        <v>84</v>
      </c>
      <c r="B2" s="33">
        <v>0</v>
      </c>
      <c r="C2" s="34">
        <v>1</v>
      </c>
      <c r="D2" s="36">
        <f>B2*C2</f>
        <v>0</v>
      </c>
    </row>
    <row r="3" spans="1:4" x14ac:dyDescent="0.2">
      <c r="A3" s="36" t="s">
        <v>85</v>
      </c>
      <c r="B3" s="36">
        <v>11000</v>
      </c>
      <c r="C3" s="34">
        <v>1</v>
      </c>
      <c r="D3" s="36">
        <f t="shared" ref="D3:D17" si="0">B3*C3</f>
        <v>11000</v>
      </c>
    </row>
    <row r="4" spans="1:4" x14ac:dyDescent="0.2">
      <c r="A4" s="36" t="s">
        <v>86</v>
      </c>
      <c r="B4" s="36">
        <v>8000</v>
      </c>
      <c r="C4" s="34">
        <v>0</v>
      </c>
      <c r="D4" s="36">
        <f t="shared" si="0"/>
        <v>0</v>
      </c>
    </row>
    <row r="5" spans="1:4" x14ac:dyDescent="0.2">
      <c r="A5" s="36" t="s">
        <v>87</v>
      </c>
      <c r="B5" s="36">
        <v>5000</v>
      </c>
      <c r="C5" s="34">
        <v>0</v>
      </c>
      <c r="D5" s="36">
        <f t="shared" si="0"/>
        <v>0</v>
      </c>
    </row>
    <row r="6" spans="1:4" x14ac:dyDescent="0.2">
      <c r="A6" s="36" t="s">
        <v>88</v>
      </c>
      <c r="B6" s="36">
        <v>4845.6000000000004</v>
      </c>
      <c r="C6" s="34">
        <v>8</v>
      </c>
      <c r="D6" s="36">
        <f t="shared" si="0"/>
        <v>38764.800000000003</v>
      </c>
    </row>
    <row r="7" spans="1:4" x14ac:dyDescent="0.2">
      <c r="A7" s="36" t="s">
        <v>97</v>
      </c>
      <c r="B7" s="36">
        <v>1500</v>
      </c>
      <c r="C7" s="34">
        <v>0</v>
      </c>
      <c r="D7" s="36">
        <f t="shared" si="0"/>
        <v>0</v>
      </c>
    </row>
    <row r="8" spans="1:4" x14ac:dyDescent="0.2">
      <c r="A8" s="36" t="s">
        <v>99</v>
      </c>
      <c r="B8" s="36">
        <v>2500</v>
      </c>
      <c r="C8" s="34">
        <v>0</v>
      </c>
      <c r="D8" s="36">
        <f t="shared" si="0"/>
        <v>0</v>
      </c>
    </row>
    <row r="9" spans="1:4" x14ac:dyDescent="0.2">
      <c r="A9" s="36" t="s">
        <v>98</v>
      </c>
      <c r="B9" s="36">
        <v>3000</v>
      </c>
      <c r="C9" s="34">
        <v>0</v>
      </c>
      <c r="D9" s="36">
        <f t="shared" si="0"/>
        <v>0</v>
      </c>
    </row>
    <row r="10" spans="1:4" x14ac:dyDescent="0.2">
      <c r="A10" s="36" t="s">
        <v>89</v>
      </c>
      <c r="B10" s="36">
        <v>30</v>
      </c>
      <c r="C10" s="34">
        <v>720</v>
      </c>
      <c r="D10" s="36">
        <f t="shared" si="0"/>
        <v>21600</v>
      </c>
    </row>
    <row r="11" spans="1:4" x14ac:dyDescent="0.2">
      <c r="A11" s="36" t="s">
        <v>100</v>
      </c>
      <c r="B11" s="36">
        <v>20</v>
      </c>
      <c r="C11" s="34">
        <v>0</v>
      </c>
      <c r="D11" s="36">
        <f t="shared" si="0"/>
        <v>0</v>
      </c>
    </row>
    <row r="12" spans="1:4" x14ac:dyDescent="0.2">
      <c r="A12" s="36" t="s">
        <v>90</v>
      </c>
      <c r="B12" s="36">
        <v>10</v>
      </c>
      <c r="C12" s="34">
        <v>0</v>
      </c>
      <c r="D12" s="36">
        <f t="shared" si="0"/>
        <v>0</v>
      </c>
    </row>
    <row r="13" spans="1:4" x14ac:dyDescent="0.2">
      <c r="A13" s="36" t="s">
        <v>91</v>
      </c>
      <c r="B13" s="36">
        <v>13460</v>
      </c>
      <c r="C13" s="34">
        <v>1</v>
      </c>
      <c r="D13" s="36">
        <f t="shared" si="0"/>
        <v>13460</v>
      </c>
    </row>
    <row r="14" spans="1:4" x14ac:dyDescent="0.2">
      <c r="A14" s="36" t="s">
        <v>92</v>
      </c>
      <c r="B14" s="36">
        <v>5384</v>
      </c>
      <c r="C14" s="34">
        <v>2</v>
      </c>
      <c r="D14" s="36">
        <f t="shared" si="0"/>
        <v>10768</v>
      </c>
    </row>
    <row r="15" spans="1:4" x14ac:dyDescent="0.2">
      <c r="A15" s="36" t="s">
        <v>93</v>
      </c>
      <c r="B15" s="36">
        <v>5000</v>
      </c>
      <c r="C15" s="34">
        <v>1</v>
      </c>
      <c r="D15" s="36">
        <f t="shared" si="0"/>
        <v>5000</v>
      </c>
    </row>
    <row r="16" spans="1:4" x14ac:dyDescent="0.2">
      <c r="A16" s="36" t="s">
        <v>94</v>
      </c>
      <c r="B16" s="36">
        <v>50000</v>
      </c>
      <c r="C16" s="34">
        <v>4</v>
      </c>
      <c r="D16" s="36">
        <f t="shared" si="0"/>
        <v>200000</v>
      </c>
    </row>
    <row r="17" spans="1:4" x14ac:dyDescent="0.2">
      <c r="A17" s="36" t="s">
        <v>95</v>
      </c>
      <c r="B17" s="36">
        <v>120000</v>
      </c>
      <c r="C17" s="34">
        <v>0</v>
      </c>
      <c r="D17" s="36">
        <f t="shared" si="0"/>
        <v>0</v>
      </c>
    </row>
    <row r="18" spans="1:4" x14ac:dyDescent="0.2">
      <c r="A18" s="37" t="s">
        <v>103</v>
      </c>
      <c r="B18" s="32">
        <v>200000</v>
      </c>
      <c r="C18" s="35">
        <v>1</v>
      </c>
      <c r="D18" s="37">
        <f>B18</f>
        <v>200000</v>
      </c>
    </row>
    <row r="19" spans="1:4" x14ac:dyDescent="0.2">
      <c r="A19" s="59" t="s">
        <v>96</v>
      </c>
      <c r="B19" s="59"/>
      <c r="C19" s="59"/>
      <c r="D19" s="38">
        <f>D18+D16+D17-SUM(D3:D15)</f>
        <v>299407.2</v>
      </c>
    </row>
    <row r="20" spans="1:4" x14ac:dyDescent="0.2">
      <c r="A20" s="25"/>
      <c r="B20" s="25"/>
      <c r="C20" s="25"/>
      <c r="D20" s="25"/>
    </row>
    <row r="21" spans="1:4" x14ac:dyDescent="0.2">
      <c r="A21" s="39" t="s">
        <v>101</v>
      </c>
      <c r="B21" s="39" t="s">
        <v>102</v>
      </c>
      <c r="C21" s="36" t="s">
        <v>117</v>
      </c>
      <c r="D21" s="40" t="s">
        <v>104</v>
      </c>
    </row>
    <row r="22" spans="1:4" x14ac:dyDescent="0.2">
      <c r="A22" s="11" t="s">
        <v>105</v>
      </c>
      <c r="B22" s="41">
        <f>B2</f>
        <v>0</v>
      </c>
      <c r="C22" s="36">
        <f>B22</f>
        <v>0</v>
      </c>
      <c r="D22" s="42">
        <v>0</v>
      </c>
    </row>
    <row r="23" spans="1:4" x14ac:dyDescent="0.2">
      <c r="A23" s="11" t="s">
        <v>103</v>
      </c>
      <c r="B23" s="41">
        <f>D19</f>
        <v>299407.2</v>
      </c>
      <c r="C23" s="36">
        <f t="shared" ref="C23:C33" si="1">B23</f>
        <v>299407.2</v>
      </c>
      <c r="D23" s="42">
        <v>0</v>
      </c>
    </row>
    <row r="24" spans="1:4" x14ac:dyDescent="0.2">
      <c r="A24" s="11" t="s">
        <v>106</v>
      </c>
      <c r="B24" s="43">
        <f>M21+N21+O21</f>
        <v>0</v>
      </c>
      <c r="C24" s="36">
        <f t="shared" si="1"/>
        <v>0</v>
      </c>
      <c r="D24" s="42">
        <v>0</v>
      </c>
    </row>
    <row r="25" spans="1:4" x14ac:dyDescent="0.2">
      <c r="A25" s="11" t="s">
        <v>107</v>
      </c>
      <c r="B25" s="36">
        <f>采购附录表!$I$18</f>
        <v>82134</v>
      </c>
      <c r="C25" s="44">
        <f t="shared" si="1"/>
        <v>82134</v>
      </c>
      <c r="D25" s="42">
        <v>0</v>
      </c>
    </row>
    <row r="26" spans="1:4" x14ac:dyDescent="0.2">
      <c r="A26" s="11" t="s">
        <v>116</v>
      </c>
      <c r="B26" s="36">
        <f>采购附录表!$I$19</f>
        <v>133731</v>
      </c>
      <c r="C26" s="36">
        <f>采购附录表!J19</f>
        <v>137142.72</v>
      </c>
      <c r="D26" s="42">
        <v>0</v>
      </c>
    </row>
    <row r="27" spans="1:4" x14ac:dyDescent="0.2">
      <c r="A27" s="11" t="s">
        <v>109</v>
      </c>
      <c r="B27" s="36">
        <f>(B24+B23-B22)/1.17*0.17</f>
        <v>43503.610256410262</v>
      </c>
      <c r="C27" s="36">
        <f t="shared" si="1"/>
        <v>43503.610256410262</v>
      </c>
      <c r="D27" s="42">
        <v>0</v>
      </c>
    </row>
    <row r="28" spans="1:4" x14ac:dyDescent="0.2">
      <c r="A28" s="11" t="s">
        <v>110</v>
      </c>
      <c r="B28" s="36">
        <f>B26/1.17*0.17</f>
        <v>19431</v>
      </c>
      <c r="C28" s="36">
        <f t="shared" si="1"/>
        <v>19431</v>
      </c>
      <c r="D28" s="42">
        <v>0</v>
      </c>
    </row>
    <row r="29" spans="1:4" x14ac:dyDescent="0.2">
      <c r="A29" s="11" t="s">
        <v>111</v>
      </c>
      <c r="B29" s="36">
        <f>B27-B28</f>
        <v>24072.610256410262</v>
      </c>
      <c r="C29" s="36">
        <f t="shared" si="1"/>
        <v>24072.610256410262</v>
      </c>
      <c r="D29" s="42">
        <v>0</v>
      </c>
    </row>
    <row r="30" spans="1:4" x14ac:dyDescent="0.2">
      <c r="A30" s="11" t="s">
        <v>112</v>
      </c>
      <c r="B30" s="36">
        <f>B29*0.12</f>
        <v>2888.7132307692314</v>
      </c>
      <c r="C30" s="36">
        <f t="shared" si="1"/>
        <v>2888.7132307692314</v>
      </c>
      <c r="D30" s="42">
        <v>0</v>
      </c>
    </row>
    <row r="31" spans="1:4" x14ac:dyDescent="0.2">
      <c r="A31" s="11" t="s">
        <v>113</v>
      </c>
      <c r="B31" s="34">
        <v>0</v>
      </c>
      <c r="C31" s="36">
        <f t="shared" si="1"/>
        <v>0</v>
      </c>
      <c r="D31" s="42">
        <v>0</v>
      </c>
    </row>
    <row r="32" spans="1:4" x14ac:dyDescent="0.2">
      <c r="A32" s="11" t="s">
        <v>114</v>
      </c>
      <c r="B32" s="34">
        <v>0</v>
      </c>
      <c r="C32" s="36">
        <f t="shared" si="1"/>
        <v>0</v>
      </c>
      <c r="D32" s="42">
        <v>0</v>
      </c>
    </row>
    <row r="33" spans="1:4" x14ac:dyDescent="0.2">
      <c r="A33" s="11" t="s">
        <v>108</v>
      </c>
      <c r="B33" s="11">
        <v>10000</v>
      </c>
      <c r="C33" s="36">
        <f t="shared" si="1"/>
        <v>10000</v>
      </c>
      <c r="D33" s="42">
        <v>0</v>
      </c>
    </row>
    <row r="34" spans="1:4" x14ac:dyDescent="0.2">
      <c r="A34" s="11" t="s">
        <v>115</v>
      </c>
      <c r="B34" s="45">
        <f>B23+B24-B25-B29-B30-B31-B32-B33</f>
        <v>180311.87651282051</v>
      </c>
      <c r="C34" s="45">
        <f t="shared" ref="C34:D34" si="2">C23+C24-C25-C29-C30-C31-C32-C33</f>
        <v>180311.87651282051</v>
      </c>
      <c r="D34" s="45">
        <f t="shared" si="2"/>
        <v>0</v>
      </c>
    </row>
  </sheetData>
  <sheetProtection algorithmName="SHA-512" hashValue="Jn8VahzqZX96ipibLfwo2FEVeZ7kjiuBfpJt0bvauhZjo5iTwvyhPHGoA8Y1TUVufVNzUUXgoklETvvgbt6oGA==" saltValue="xa7kN1r6AQFH2VCKl4bsew==" spinCount="100000" sheet="1" objects="1" scenarios="1"/>
  <mergeCells count="1">
    <mergeCell ref="A19:C19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原材料购买</vt:lpstr>
      <vt:lpstr>产品报价</vt:lpstr>
      <vt:lpstr>报价辅助表</vt:lpstr>
      <vt:lpstr>采购附录表</vt:lpstr>
      <vt:lpstr>财务计算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刘磊</dc:creator>
  <cp:lastModifiedBy>float m</cp:lastModifiedBy>
  <dcterms:created xsi:type="dcterms:W3CDTF">2018-09-18T05:10:25Z</dcterms:created>
  <dcterms:modified xsi:type="dcterms:W3CDTF">2020-06-18T09:26:49Z</dcterms:modified>
</cp:coreProperties>
</file>